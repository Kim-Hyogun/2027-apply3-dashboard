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k\Workspace-jack\report\04-apply3-status-antigravity\output-report\"/>
    </mc:Choice>
  </mc:AlternateContent>
  <xr:revisionPtr revIDLastSave="0" documentId="13_ncr:1_{FF69E845-55D8-4E4D-9063-6E4D6DCD4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일차1월4일(월)17시" sheetId="1" r:id="rId1"/>
  </sheets>
  <definedNames>
    <definedName name="_xlnm.Print_Area" localSheetId="0">'1일차1월4일(월)17시'!$B$2:$R$45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2" i="1" l="1"/>
  <c r="W41" i="1"/>
  <c r="V41" i="1"/>
  <c r="F42" i="1" s="1"/>
  <c r="U41" i="1"/>
  <c r="T41" i="1"/>
  <c r="N41" i="1"/>
  <c r="K44" i="1" s="1"/>
  <c r="K41" i="1"/>
  <c r="K45" i="1" s="1"/>
  <c r="J41" i="1"/>
  <c r="F44" i="1" s="1"/>
  <c r="G41" i="1"/>
  <c r="F41" i="1"/>
  <c r="E41" i="1"/>
  <c r="E45" i="1" s="1"/>
  <c r="D41" i="1"/>
  <c r="R40" i="1"/>
  <c r="P40" i="1"/>
  <c r="O40" i="1"/>
  <c r="M40" i="1"/>
  <c r="L40" i="1"/>
  <c r="I40" i="1"/>
  <c r="Q40" i="1" s="1"/>
  <c r="H40" i="1"/>
  <c r="G40" i="1"/>
  <c r="R39" i="1"/>
  <c r="Q39" i="1"/>
  <c r="O39" i="1"/>
  <c r="M39" i="1"/>
  <c r="L39" i="1"/>
  <c r="I39" i="1"/>
  <c r="H39" i="1"/>
  <c r="P39" i="1" s="1"/>
  <c r="G39" i="1"/>
  <c r="R38" i="1"/>
  <c r="P38" i="1"/>
  <c r="O38" i="1"/>
  <c r="M38" i="1"/>
  <c r="L38" i="1"/>
  <c r="I38" i="1"/>
  <c r="Q38" i="1" s="1"/>
  <c r="H38" i="1"/>
  <c r="G38" i="1"/>
  <c r="R37" i="1"/>
  <c r="Q37" i="1"/>
  <c r="O37" i="1"/>
  <c r="M37" i="1"/>
  <c r="L37" i="1"/>
  <c r="I37" i="1"/>
  <c r="H37" i="1"/>
  <c r="P37" i="1" s="1"/>
  <c r="G37" i="1"/>
  <c r="R36" i="1"/>
  <c r="P36" i="1"/>
  <c r="O36" i="1"/>
  <c r="M36" i="1"/>
  <c r="L36" i="1"/>
  <c r="I36" i="1"/>
  <c r="Q36" i="1" s="1"/>
  <c r="H36" i="1"/>
  <c r="G36" i="1"/>
  <c r="R35" i="1"/>
  <c r="Q35" i="1"/>
  <c r="O35" i="1"/>
  <c r="M35" i="1"/>
  <c r="L35" i="1"/>
  <c r="I35" i="1"/>
  <c r="H35" i="1"/>
  <c r="P35" i="1" s="1"/>
  <c r="G35" i="1"/>
  <c r="R34" i="1"/>
  <c r="P34" i="1"/>
  <c r="O34" i="1"/>
  <c r="M34" i="1"/>
  <c r="L34" i="1"/>
  <c r="I34" i="1"/>
  <c r="Q34" i="1" s="1"/>
  <c r="H34" i="1"/>
  <c r="G34" i="1"/>
  <c r="R33" i="1"/>
  <c r="Q33" i="1"/>
  <c r="O33" i="1"/>
  <c r="M33" i="1"/>
  <c r="L33" i="1"/>
  <c r="I33" i="1"/>
  <c r="H33" i="1"/>
  <c r="P33" i="1" s="1"/>
  <c r="G33" i="1"/>
  <c r="R32" i="1"/>
  <c r="P32" i="1"/>
  <c r="O32" i="1"/>
  <c r="M32" i="1"/>
  <c r="L32" i="1"/>
  <c r="I32" i="1"/>
  <c r="Q32" i="1" s="1"/>
  <c r="H32" i="1"/>
  <c r="G32" i="1"/>
  <c r="R31" i="1"/>
  <c r="Q31" i="1"/>
  <c r="O31" i="1"/>
  <c r="M31" i="1"/>
  <c r="L31" i="1"/>
  <c r="I31" i="1"/>
  <c r="H31" i="1"/>
  <c r="P31" i="1" s="1"/>
  <c r="G31" i="1"/>
  <c r="R30" i="1"/>
  <c r="P30" i="1"/>
  <c r="O30" i="1"/>
  <c r="M30" i="1"/>
  <c r="L30" i="1"/>
  <c r="I30" i="1"/>
  <c r="Q30" i="1" s="1"/>
  <c r="H30" i="1"/>
  <c r="G30" i="1"/>
  <c r="R29" i="1"/>
  <c r="Q29" i="1"/>
  <c r="O29" i="1"/>
  <c r="M29" i="1"/>
  <c r="L29" i="1"/>
  <c r="I29" i="1"/>
  <c r="H29" i="1"/>
  <c r="P29" i="1" s="1"/>
  <c r="G29" i="1"/>
  <c r="R28" i="1"/>
  <c r="P28" i="1"/>
  <c r="O28" i="1"/>
  <c r="M28" i="1"/>
  <c r="L28" i="1"/>
  <c r="I28" i="1"/>
  <c r="Q28" i="1" s="1"/>
  <c r="H28" i="1"/>
  <c r="G28" i="1"/>
  <c r="R27" i="1"/>
  <c r="Q27" i="1"/>
  <c r="O27" i="1"/>
  <c r="M27" i="1"/>
  <c r="L27" i="1"/>
  <c r="I27" i="1"/>
  <c r="H27" i="1"/>
  <c r="P27" i="1" s="1"/>
  <c r="G27" i="1"/>
  <c r="R26" i="1"/>
  <c r="P26" i="1"/>
  <c r="O26" i="1"/>
  <c r="M26" i="1"/>
  <c r="L26" i="1"/>
  <c r="I26" i="1"/>
  <c r="Q26" i="1" s="1"/>
  <c r="H26" i="1"/>
  <c r="G26" i="1"/>
  <c r="R25" i="1"/>
  <c r="Q25" i="1"/>
  <c r="O25" i="1"/>
  <c r="M25" i="1"/>
  <c r="L25" i="1"/>
  <c r="I25" i="1"/>
  <c r="H25" i="1"/>
  <c r="P25" i="1" s="1"/>
  <c r="G25" i="1"/>
  <c r="R24" i="1"/>
  <c r="P24" i="1"/>
  <c r="O24" i="1"/>
  <c r="M24" i="1"/>
  <c r="L24" i="1"/>
  <c r="I24" i="1"/>
  <c r="Q24" i="1" s="1"/>
  <c r="H24" i="1"/>
  <c r="G24" i="1"/>
  <c r="R23" i="1"/>
  <c r="Q23" i="1"/>
  <c r="O23" i="1"/>
  <c r="M23" i="1"/>
  <c r="L23" i="1"/>
  <c r="I23" i="1"/>
  <c r="H23" i="1"/>
  <c r="P23" i="1" s="1"/>
  <c r="G23" i="1"/>
  <c r="R22" i="1"/>
  <c r="P22" i="1"/>
  <c r="O22" i="1"/>
  <c r="M22" i="1"/>
  <c r="L22" i="1"/>
  <c r="I22" i="1"/>
  <c r="Q22" i="1" s="1"/>
  <c r="H22" i="1"/>
  <c r="G22" i="1"/>
  <c r="R21" i="1"/>
  <c r="Q21" i="1"/>
  <c r="O21" i="1"/>
  <c r="M21" i="1"/>
  <c r="L21" i="1"/>
  <c r="I21" i="1"/>
  <c r="H21" i="1"/>
  <c r="P21" i="1" s="1"/>
  <c r="G21" i="1"/>
  <c r="R20" i="1"/>
  <c r="P20" i="1"/>
  <c r="O20" i="1"/>
  <c r="M20" i="1"/>
  <c r="L20" i="1"/>
  <c r="I20" i="1"/>
  <c r="Q20" i="1" s="1"/>
  <c r="H20" i="1"/>
  <c r="G20" i="1"/>
  <c r="R19" i="1"/>
  <c r="Q19" i="1"/>
  <c r="O19" i="1"/>
  <c r="M19" i="1"/>
  <c r="L19" i="1"/>
  <c r="I19" i="1"/>
  <c r="H19" i="1"/>
  <c r="P19" i="1" s="1"/>
  <c r="G19" i="1"/>
  <c r="R18" i="1"/>
  <c r="P18" i="1"/>
  <c r="O18" i="1"/>
  <c r="M18" i="1"/>
  <c r="L18" i="1"/>
  <c r="I18" i="1"/>
  <c r="Q18" i="1" s="1"/>
  <c r="H18" i="1"/>
  <c r="G18" i="1"/>
  <c r="R17" i="1"/>
  <c r="Q17" i="1"/>
  <c r="O17" i="1"/>
  <c r="M17" i="1"/>
  <c r="L17" i="1"/>
  <c r="I17" i="1"/>
  <c r="H17" i="1"/>
  <c r="P17" i="1" s="1"/>
  <c r="G17" i="1"/>
  <c r="R16" i="1"/>
  <c r="P16" i="1"/>
  <c r="O16" i="1"/>
  <c r="M16" i="1"/>
  <c r="L16" i="1"/>
  <c r="I16" i="1"/>
  <c r="Q16" i="1" s="1"/>
  <c r="H16" i="1"/>
  <c r="G16" i="1"/>
  <c r="R15" i="1"/>
  <c r="Q15" i="1"/>
  <c r="O15" i="1"/>
  <c r="M15" i="1"/>
  <c r="L15" i="1"/>
  <c r="I15" i="1"/>
  <c r="H15" i="1"/>
  <c r="P15" i="1" s="1"/>
  <c r="G15" i="1"/>
  <c r="R14" i="1"/>
  <c r="P14" i="1"/>
  <c r="O14" i="1"/>
  <c r="M14" i="1"/>
  <c r="L14" i="1"/>
  <c r="I14" i="1"/>
  <c r="Q14" i="1" s="1"/>
  <c r="H14" i="1"/>
  <c r="G14" i="1"/>
  <c r="R13" i="1"/>
  <c r="Q13" i="1"/>
  <c r="O13" i="1"/>
  <c r="M13" i="1"/>
  <c r="L13" i="1"/>
  <c r="I13" i="1"/>
  <c r="H13" i="1"/>
  <c r="P13" i="1" s="1"/>
  <c r="G13" i="1"/>
  <c r="R12" i="1"/>
  <c r="P12" i="1"/>
  <c r="O12" i="1"/>
  <c r="M12" i="1"/>
  <c r="L12" i="1"/>
  <c r="I12" i="1"/>
  <c r="Q12" i="1" s="1"/>
  <c r="H12" i="1"/>
  <c r="G12" i="1"/>
  <c r="R11" i="1"/>
  <c r="Q11" i="1"/>
  <c r="O11" i="1"/>
  <c r="M11" i="1"/>
  <c r="L11" i="1"/>
  <c r="I11" i="1"/>
  <c r="H11" i="1"/>
  <c r="P11" i="1" s="1"/>
  <c r="G11" i="1"/>
  <c r="R10" i="1"/>
  <c r="P10" i="1"/>
  <c r="O10" i="1"/>
  <c r="M10" i="1"/>
  <c r="L10" i="1"/>
  <c r="I10" i="1"/>
  <c r="Q10" i="1" s="1"/>
  <c r="H10" i="1"/>
  <c r="G10" i="1"/>
  <c r="R9" i="1"/>
  <c r="Q9" i="1"/>
  <c r="O9" i="1"/>
  <c r="M9" i="1"/>
  <c r="L9" i="1"/>
  <c r="I9" i="1"/>
  <c r="H9" i="1"/>
  <c r="P9" i="1" s="1"/>
  <c r="G9" i="1"/>
  <c r="R8" i="1"/>
  <c r="P8" i="1"/>
  <c r="O8" i="1"/>
  <c r="M8" i="1"/>
  <c r="L8" i="1"/>
  <c r="I8" i="1"/>
  <c r="Q8" i="1" s="1"/>
  <c r="H8" i="1"/>
  <c r="G8" i="1"/>
  <c r="R7" i="1"/>
  <c r="Q7" i="1"/>
  <c r="O7" i="1"/>
  <c r="M7" i="1"/>
  <c r="L7" i="1"/>
  <c r="I7" i="1"/>
  <c r="H7" i="1"/>
  <c r="P7" i="1" s="1"/>
  <c r="G7" i="1"/>
  <c r="R6" i="1"/>
  <c r="R41" i="1" s="1"/>
  <c r="P6" i="1"/>
  <c r="O6" i="1"/>
  <c r="M6" i="1"/>
  <c r="M41" i="1" s="1"/>
  <c r="L6" i="1"/>
  <c r="L41" i="1" s="1"/>
  <c r="I6" i="1"/>
  <c r="Q6" i="1" s="1"/>
  <c r="H6" i="1"/>
  <c r="H41" i="1" s="1"/>
  <c r="P41" i="1" s="1"/>
  <c r="G6" i="1"/>
  <c r="G42" i="1" l="1"/>
  <c r="O42" i="1"/>
  <c r="F43" i="1"/>
  <c r="O44" i="1"/>
  <c r="F45" i="1"/>
  <c r="G44" i="1"/>
  <c r="G45" i="1"/>
  <c r="I41" i="1"/>
  <c r="Q41" i="1" s="1"/>
  <c r="G43" i="1"/>
  <c r="K43" i="1"/>
  <c r="O41" i="1"/>
  <c r="E43" i="1"/>
  <c r="O45" i="1" l="1"/>
  <c r="O43" i="1"/>
</calcChain>
</file>

<file path=xl/sharedStrings.xml><?xml version="1.0" encoding="utf-8"?>
<sst xmlns="http://schemas.openxmlformats.org/spreadsheetml/2006/main" count="69" uniqueCount="58">
  <si>
    <t>2027학년도 신입생 정시 모집 지원현황</t>
  </si>
  <si>
    <t>접수1일차(D-16) / 1월4일(월) 17시기준</t>
  </si>
  <si>
    <t>NO</t>
  </si>
  <si>
    <t>학과</t>
  </si>
  <si>
    <t>입학
정원</t>
  </si>
  <si>
    <t>정원내</t>
  </si>
  <si>
    <t>정원외</t>
  </si>
  <si>
    <t>계</t>
  </si>
  <si>
    <t>모집
인원</t>
  </si>
  <si>
    <t>지원
인원</t>
  </si>
  <si>
    <t>지원율</t>
  </si>
  <si>
    <t>전일인원
대비</t>
  </si>
  <si>
    <t>전년당일
인원대비</t>
  </si>
  <si>
    <t>전년최종
지원인원</t>
  </si>
  <si>
    <t>전일 정원내 지원
인원</t>
  </si>
  <si>
    <t>전일 정원외 지원
인원</t>
  </si>
  <si>
    <t>전년 정원내 지원
인원</t>
  </si>
  <si>
    <t>전년 정원외 지원
인원</t>
  </si>
  <si>
    <t>반도체전자과</t>
  </si>
  <si>
    <t>화공에너지공학과</t>
  </si>
  <si>
    <t>기계과</t>
  </si>
  <si>
    <t>AI컴퓨터과</t>
  </si>
  <si>
    <t>전기수소자동차과</t>
  </si>
  <si>
    <t>전기과</t>
  </si>
  <si>
    <t>소방안전관리과</t>
  </si>
  <si>
    <t>AI시각디자인학과</t>
  </si>
  <si>
    <t>미디어영상과</t>
  </si>
  <si>
    <t>토목환경과</t>
  </si>
  <si>
    <t>환경조경디자인과</t>
  </si>
  <si>
    <t>인테리어디자인과</t>
  </si>
  <si>
    <t>스포츠재활트레이닝과</t>
  </si>
  <si>
    <t>물리치료학과</t>
  </si>
  <si>
    <t>치위생과</t>
  </si>
  <si>
    <t>병원의료행정과</t>
  </si>
  <si>
    <t>작업치료과</t>
  </si>
  <si>
    <t>간호학과</t>
  </si>
  <si>
    <t>임상병리과</t>
  </si>
  <si>
    <t>경영학과</t>
  </si>
  <si>
    <t>유아교육과</t>
  </si>
  <si>
    <t>사회복지학과</t>
  </si>
  <si>
    <t>경찰행정학과</t>
  </si>
  <si>
    <t>AI창업학과</t>
  </si>
  <si>
    <t>호텔관광과</t>
  </si>
  <si>
    <t>호텔외식조리학과</t>
  </si>
  <si>
    <t>호텔제과제빵과</t>
  </si>
  <si>
    <t>신발패션과</t>
  </si>
  <si>
    <t>헤어디자인과</t>
  </si>
  <si>
    <t>글로벌K뷰티학과</t>
  </si>
  <si>
    <t>K뷰티스타일리스트과</t>
  </si>
  <si>
    <t>반려동물학과</t>
  </si>
  <si>
    <t>디지털문예창작과</t>
  </si>
  <si>
    <t>국방산업학과</t>
  </si>
  <si>
    <t>자율전공학과</t>
  </si>
  <si>
    <t>전년도
비교</t>
  </si>
  <si>
    <t>접수1일차
17시 기준</t>
  </si>
  <si>
    <t>지원</t>
  </si>
  <si>
    <t>증감</t>
  </si>
  <si>
    <t>최종마감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</si>
</sst>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.00_);[Red]\(#,##0.00\)"/>
    <numFmt numFmtId="178" formatCode="#,##0_ ;[Red]\-#,##0\ "/>
    <numFmt numFmtId="179" formatCode="0_ ;[Red]\-0\ "/>
    <numFmt numFmtId="180" formatCode="#,##0.00_ ;[Red]\-#,##0.00\ "/>
  </numFmts>
  <fonts count="24" x14ac:knownFonts="1"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30"/>
      <color rgb="FF000000"/>
      <name val="맑은 고딕"/>
      <family val="3"/>
      <charset val="129"/>
      <scheme val="minor"/>
    </font>
    <font>
      <b/>
      <sz val="25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b/>
      <sz val="24"/>
      <color rgb="FF0000FF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ajor"/>
    </font>
    <font>
      <b/>
      <sz val="24"/>
      <color rgb="FF0000FF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b/>
      <sz val="18"/>
      <color rgb="FF0000FF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theme="0"/>
        <bgColor rgb="FFC0C0C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0C0C0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shrinkToFit="1"/>
    </xf>
    <xf numFmtId="49" fontId="6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right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49" fontId="8" fillId="4" borderId="8" xfId="0" applyNumberFormat="1" applyFont="1" applyFill="1" applyBorder="1" applyAlignment="1">
      <alignment horizontal="center" vertical="center" wrapText="1"/>
    </xf>
    <xf numFmtId="49" fontId="8" fillId="4" borderId="8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49" fontId="8" fillId="4" borderId="10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shrinkToFit="1"/>
    </xf>
    <xf numFmtId="49" fontId="11" fillId="2" borderId="13" xfId="0" applyNumberFormat="1" applyFont="1" applyFill="1" applyBorder="1" applyAlignment="1">
      <alignment horizontal="center" vertical="center" shrinkToFit="1"/>
    </xf>
    <xf numFmtId="0" fontId="11" fillId="2" borderId="14" xfId="0" applyFont="1" applyFill="1" applyBorder="1" applyAlignment="1">
      <alignment horizontal="center" vertical="center" shrinkToFit="1"/>
    </xf>
    <xf numFmtId="176" fontId="11" fillId="5" borderId="12" xfId="0" applyNumberFormat="1" applyFont="1" applyFill="1" applyBorder="1" applyAlignment="1">
      <alignment horizontal="center" vertical="center" shrinkToFit="1"/>
    </xf>
    <xf numFmtId="176" fontId="12" fillId="5" borderId="15" xfId="0" applyNumberFormat="1" applyFont="1" applyFill="1" applyBorder="1" applyAlignment="1">
      <alignment horizontal="center" vertical="center" shrinkToFit="1"/>
    </xf>
    <xf numFmtId="177" fontId="11" fillId="5" borderId="15" xfId="0" applyNumberFormat="1" applyFont="1" applyFill="1" applyBorder="1" applyAlignment="1">
      <alignment horizontal="center" vertical="center" shrinkToFit="1"/>
    </xf>
    <xf numFmtId="178" fontId="11" fillId="5" borderId="15" xfId="0" applyNumberFormat="1" applyFont="1" applyFill="1" applyBorder="1" applyAlignment="1">
      <alignment horizontal="center" vertical="center" shrinkToFit="1"/>
    </xf>
    <xf numFmtId="178" fontId="12" fillId="5" borderId="13" xfId="0" applyNumberFormat="1" applyFont="1" applyFill="1" applyBorder="1" applyAlignment="1">
      <alignment horizontal="center" vertical="center" shrinkToFit="1"/>
    </xf>
    <xf numFmtId="178" fontId="12" fillId="5" borderId="12" xfId="0" applyNumberFormat="1" applyFont="1" applyFill="1" applyBorder="1" applyAlignment="1">
      <alignment horizontal="center" vertical="center" shrinkToFit="1"/>
    </xf>
    <xf numFmtId="179" fontId="11" fillId="5" borderId="15" xfId="0" applyNumberFormat="1" applyFont="1" applyFill="1" applyBorder="1" applyAlignment="1">
      <alignment horizontal="center" vertical="center" shrinkToFit="1"/>
    </xf>
    <xf numFmtId="178" fontId="12" fillId="5" borderId="16" xfId="0" applyNumberFormat="1" applyFont="1" applyFill="1" applyBorder="1" applyAlignment="1">
      <alignment horizontal="center" vertical="center" shrinkToFit="1"/>
    </xf>
    <xf numFmtId="178" fontId="12" fillId="5" borderId="17" xfId="0" applyNumberFormat="1" applyFont="1" applyFill="1" applyBorder="1" applyAlignment="1">
      <alignment horizontal="center" vertical="center" shrinkToFit="1"/>
    </xf>
    <xf numFmtId="0" fontId="10" fillId="6" borderId="18" xfId="0" applyFont="1" applyFill="1" applyBorder="1" applyAlignment="1">
      <alignment horizontal="center" vertical="center" shrinkToFit="1"/>
    </xf>
    <xf numFmtId="49" fontId="11" fillId="6" borderId="19" xfId="0" applyNumberFormat="1" applyFont="1" applyFill="1" applyBorder="1" applyAlignment="1">
      <alignment horizontal="center" vertical="center" shrinkToFit="1"/>
    </xf>
    <xf numFmtId="0" fontId="11" fillId="6" borderId="20" xfId="0" applyFont="1" applyFill="1" applyBorder="1" applyAlignment="1">
      <alignment horizontal="center" vertical="center" shrinkToFit="1"/>
    </xf>
    <xf numFmtId="176" fontId="11" fillId="7" borderId="18" xfId="0" applyNumberFormat="1" applyFont="1" applyFill="1" applyBorder="1" applyAlignment="1">
      <alignment horizontal="center" vertical="center" shrinkToFit="1"/>
    </xf>
    <xf numFmtId="176" fontId="12" fillId="7" borderId="21" xfId="0" applyNumberFormat="1" applyFont="1" applyFill="1" applyBorder="1" applyAlignment="1">
      <alignment horizontal="center" vertical="center" shrinkToFit="1"/>
    </xf>
    <xf numFmtId="177" fontId="11" fillId="7" borderId="21" xfId="0" applyNumberFormat="1" applyFont="1" applyFill="1" applyBorder="1" applyAlignment="1">
      <alignment horizontal="center" vertical="center" shrinkToFit="1"/>
    </xf>
    <xf numFmtId="178" fontId="11" fillId="7" borderId="21" xfId="0" applyNumberFormat="1" applyFont="1" applyFill="1" applyBorder="1" applyAlignment="1">
      <alignment horizontal="center" vertical="center" shrinkToFit="1"/>
    </xf>
    <xf numFmtId="178" fontId="12" fillId="7" borderId="19" xfId="0" applyNumberFormat="1" applyFont="1" applyFill="1" applyBorder="1" applyAlignment="1">
      <alignment horizontal="center" vertical="center" shrinkToFit="1"/>
    </xf>
    <xf numFmtId="178" fontId="12" fillId="7" borderId="18" xfId="0" applyNumberFormat="1" applyFont="1" applyFill="1" applyBorder="1" applyAlignment="1">
      <alignment horizontal="center" vertical="center" shrinkToFit="1"/>
    </xf>
    <xf numFmtId="179" fontId="11" fillId="7" borderId="21" xfId="0" applyNumberFormat="1" applyFont="1" applyFill="1" applyBorder="1" applyAlignment="1">
      <alignment horizontal="center" vertical="center" shrinkToFit="1"/>
    </xf>
    <xf numFmtId="178" fontId="12" fillId="7" borderId="22" xfId="0" applyNumberFormat="1" applyFont="1" applyFill="1" applyBorder="1" applyAlignment="1">
      <alignment horizontal="center" vertical="center" shrinkToFit="1"/>
    </xf>
    <xf numFmtId="178" fontId="12" fillId="7" borderId="23" xfId="0" applyNumberFormat="1" applyFont="1" applyFill="1" applyBorder="1" applyAlignment="1">
      <alignment horizontal="center" vertical="center" shrinkToFit="1"/>
    </xf>
    <xf numFmtId="0" fontId="1" fillId="6" borderId="0" xfId="0" applyFont="1" applyFill="1">
      <alignment vertical="center"/>
    </xf>
    <xf numFmtId="0" fontId="10" fillId="2" borderId="18" xfId="0" applyFont="1" applyFill="1" applyBorder="1" applyAlignment="1">
      <alignment horizontal="center" vertical="center" shrinkToFit="1"/>
    </xf>
    <xf numFmtId="49" fontId="11" fillId="2" borderId="19" xfId="0" applyNumberFormat="1" applyFont="1" applyFill="1" applyBorder="1" applyAlignment="1">
      <alignment horizontal="center" vertical="center" shrinkToFit="1"/>
    </xf>
    <xf numFmtId="0" fontId="11" fillId="2" borderId="20" xfId="0" applyFont="1" applyFill="1" applyBorder="1" applyAlignment="1">
      <alignment horizontal="center" vertical="center" shrinkToFit="1"/>
    </xf>
    <xf numFmtId="176" fontId="11" fillId="5" borderId="18" xfId="0" applyNumberFormat="1" applyFont="1" applyFill="1" applyBorder="1" applyAlignment="1">
      <alignment horizontal="center" vertical="center" shrinkToFit="1"/>
    </xf>
    <xf numFmtId="176" fontId="12" fillId="5" borderId="21" xfId="0" applyNumberFormat="1" applyFont="1" applyFill="1" applyBorder="1" applyAlignment="1">
      <alignment horizontal="center" vertical="center" shrinkToFit="1"/>
    </xf>
    <xf numFmtId="177" fontId="11" fillId="5" borderId="21" xfId="0" applyNumberFormat="1" applyFont="1" applyFill="1" applyBorder="1" applyAlignment="1">
      <alignment horizontal="center" vertical="center" shrinkToFit="1"/>
    </xf>
    <xf numFmtId="178" fontId="11" fillId="5" borderId="21" xfId="0" applyNumberFormat="1" applyFont="1" applyFill="1" applyBorder="1" applyAlignment="1">
      <alignment horizontal="center" vertical="center" shrinkToFit="1"/>
    </xf>
    <xf numFmtId="178" fontId="12" fillId="5" borderId="19" xfId="0" applyNumberFormat="1" applyFont="1" applyFill="1" applyBorder="1" applyAlignment="1">
      <alignment horizontal="center" vertical="center" shrinkToFit="1"/>
    </xf>
    <xf numFmtId="178" fontId="12" fillId="5" borderId="18" xfId="0" applyNumberFormat="1" applyFont="1" applyFill="1" applyBorder="1" applyAlignment="1">
      <alignment horizontal="center" vertical="center" shrinkToFit="1"/>
    </xf>
    <xf numFmtId="179" fontId="11" fillId="5" borderId="21" xfId="0" applyNumberFormat="1" applyFont="1" applyFill="1" applyBorder="1" applyAlignment="1">
      <alignment horizontal="center" vertical="center" shrinkToFit="1"/>
    </xf>
    <xf numFmtId="178" fontId="12" fillId="5" borderId="22" xfId="0" applyNumberFormat="1" applyFont="1" applyFill="1" applyBorder="1" applyAlignment="1">
      <alignment horizontal="center" vertical="center" shrinkToFit="1"/>
    </xf>
    <xf numFmtId="178" fontId="12" fillId="5" borderId="23" xfId="0" applyNumberFormat="1" applyFont="1" applyFill="1" applyBorder="1" applyAlignment="1">
      <alignment horizontal="center" vertical="center" shrinkToFit="1"/>
    </xf>
    <xf numFmtId="0" fontId="10" fillId="2" borderId="24" xfId="0" applyFont="1" applyFill="1" applyBorder="1" applyAlignment="1">
      <alignment horizontal="center" vertical="center" shrinkToFit="1"/>
    </xf>
    <xf numFmtId="49" fontId="11" fillId="2" borderId="11" xfId="0" applyNumberFormat="1" applyFont="1" applyFill="1" applyBorder="1" applyAlignment="1">
      <alignment horizontal="center" vertical="center" shrinkToFit="1"/>
    </xf>
    <xf numFmtId="0" fontId="11" fillId="2" borderId="25" xfId="0" applyFont="1" applyFill="1" applyBorder="1" applyAlignment="1">
      <alignment horizontal="center" vertical="center" shrinkToFit="1"/>
    </xf>
    <xf numFmtId="176" fontId="11" fillId="5" borderId="24" xfId="0" applyNumberFormat="1" applyFont="1" applyFill="1" applyBorder="1" applyAlignment="1">
      <alignment horizontal="center" vertical="center" shrinkToFit="1"/>
    </xf>
    <xf numFmtId="176" fontId="12" fillId="5" borderId="26" xfId="0" applyNumberFormat="1" applyFont="1" applyFill="1" applyBorder="1" applyAlignment="1">
      <alignment horizontal="center" vertical="center" shrinkToFit="1"/>
    </xf>
    <xf numFmtId="177" fontId="11" fillId="5" borderId="26" xfId="0" applyNumberFormat="1" applyFont="1" applyFill="1" applyBorder="1" applyAlignment="1">
      <alignment horizontal="center" vertical="center" shrinkToFit="1"/>
    </xf>
    <xf numFmtId="178" fontId="11" fillId="5" borderId="26" xfId="0" applyNumberFormat="1" applyFont="1" applyFill="1" applyBorder="1" applyAlignment="1">
      <alignment horizontal="center" vertical="center" shrinkToFit="1"/>
    </xf>
    <xf numFmtId="178" fontId="12" fillId="5" borderId="11" xfId="0" applyNumberFormat="1" applyFont="1" applyFill="1" applyBorder="1" applyAlignment="1">
      <alignment horizontal="center" vertical="center" shrinkToFit="1"/>
    </xf>
    <xf numFmtId="178" fontId="12" fillId="5" borderId="24" xfId="0" applyNumberFormat="1" applyFont="1" applyFill="1" applyBorder="1" applyAlignment="1">
      <alignment horizontal="center" vertical="center" shrinkToFit="1"/>
    </xf>
    <xf numFmtId="179" fontId="11" fillId="5" borderId="26" xfId="0" applyNumberFormat="1" applyFont="1" applyFill="1" applyBorder="1" applyAlignment="1">
      <alignment horizontal="center" vertical="center" shrinkToFit="1"/>
    </xf>
    <xf numFmtId="178" fontId="12" fillId="5" borderId="27" xfId="0" applyNumberFormat="1" applyFont="1" applyFill="1" applyBorder="1" applyAlignment="1">
      <alignment horizontal="center" vertical="center" shrinkToFit="1"/>
    </xf>
    <xf numFmtId="178" fontId="12" fillId="5" borderId="28" xfId="0" applyNumberFormat="1" applyFont="1" applyFill="1" applyBorder="1" applyAlignment="1">
      <alignment horizontal="center" vertical="center" shrinkToFit="1"/>
    </xf>
    <xf numFmtId="178" fontId="13" fillId="3" borderId="31" xfId="0" applyNumberFormat="1" applyFont="1" applyFill="1" applyBorder="1" applyAlignment="1">
      <alignment horizontal="center" vertical="center" shrinkToFit="1"/>
    </xf>
    <xf numFmtId="178" fontId="13" fillId="4" borderId="29" xfId="0" applyNumberFormat="1" applyFont="1" applyFill="1" applyBorder="1" applyAlignment="1">
      <alignment horizontal="center" vertical="center" shrinkToFit="1"/>
    </xf>
    <xf numFmtId="178" fontId="12" fillId="4" borderId="32" xfId="0" applyNumberFormat="1" applyFont="1" applyFill="1" applyBorder="1" applyAlignment="1">
      <alignment horizontal="center" vertical="center" shrinkToFit="1"/>
    </xf>
    <xf numFmtId="177" fontId="11" fillId="4" borderId="32" xfId="0" applyNumberFormat="1" applyFont="1" applyFill="1" applyBorder="1" applyAlignment="1">
      <alignment horizontal="center" vertical="center" shrinkToFit="1"/>
    </xf>
    <xf numFmtId="178" fontId="11" fillId="3" borderId="32" xfId="0" applyNumberFormat="1" applyFont="1" applyFill="1" applyBorder="1" applyAlignment="1">
      <alignment horizontal="center" vertical="center" shrinkToFit="1"/>
    </xf>
    <xf numFmtId="178" fontId="12" fillId="3" borderId="30" xfId="0" applyNumberFormat="1" applyFont="1" applyFill="1" applyBorder="1" applyAlignment="1">
      <alignment horizontal="center" vertical="center" shrinkToFit="1"/>
    </xf>
    <xf numFmtId="178" fontId="14" fillId="4" borderId="29" xfId="0" applyNumberFormat="1" applyFont="1" applyFill="1" applyBorder="1" applyAlignment="1">
      <alignment horizontal="center" vertical="center" shrinkToFit="1"/>
    </xf>
    <xf numFmtId="178" fontId="12" fillId="3" borderId="33" xfId="0" applyNumberFormat="1" applyFont="1" applyFill="1" applyBorder="1" applyAlignment="1">
      <alignment horizontal="center" vertical="center" shrinkToFit="1"/>
    </xf>
    <xf numFmtId="178" fontId="17" fillId="6" borderId="14" xfId="0" applyNumberFormat="1" applyFont="1" applyFill="1" applyBorder="1" applyAlignment="1">
      <alignment horizontal="center" vertical="center"/>
    </xf>
    <xf numFmtId="178" fontId="12" fillId="7" borderId="15" xfId="0" applyNumberFormat="1" applyFont="1" applyFill="1" applyBorder="1" applyAlignment="1">
      <alignment horizontal="center" vertical="center"/>
    </xf>
    <xf numFmtId="177" fontId="11" fillId="7" borderId="15" xfId="0" applyNumberFormat="1" applyFont="1" applyFill="1" applyBorder="1" applyAlignment="1">
      <alignment horizontal="center" vertical="center"/>
    </xf>
    <xf numFmtId="178" fontId="14" fillId="6" borderId="12" xfId="0" applyNumberFormat="1" applyFont="1" applyFill="1" applyBorder="1" applyAlignment="1">
      <alignment horizontal="center" vertical="center"/>
    </xf>
    <xf numFmtId="178" fontId="12" fillId="7" borderId="17" xfId="0" applyNumberFormat="1" applyFont="1" applyFill="1" applyBorder="1" applyAlignment="1">
      <alignment horizontal="center" vertical="center"/>
    </xf>
    <xf numFmtId="178" fontId="17" fillId="6" borderId="20" xfId="0" applyNumberFormat="1" applyFont="1" applyFill="1" applyBorder="1" applyAlignment="1">
      <alignment horizontal="center" vertical="center"/>
    </xf>
    <xf numFmtId="178" fontId="17" fillId="6" borderId="18" xfId="0" applyNumberFormat="1" applyFont="1" applyFill="1" applyBorder="1" applyAlignment="1">
      <alignment horizontal="center" vertical="center"/>
    </xf>
    <xf numFmtId="178" fontId="14" fillId="6" borderId="21" xfId="0" applyNumberFormat="1" applyFont="1" applyFill="1" applyBorder="1" applyAlignment="1">
      <alignment horizontal="center" vertical="center"/>
    </xf>
    <xf numFmtId="180" fontId="11" fillId="7" borderId="21" xfId="0" applyNumberFormat="1" applyFont="1" applyFill="1" applyBorder="1" applyAlignment="1">
      <alignment horizontal="center" vertical="center"/>
    </xf>
    <xf numFmtId="178" fontId="14" fillId="6" borderId="18" xfId="0" applyNumberFormat="1" applyFont="1" applyFill="1" applyBorder="1" applyAlignment="1">
      <alignment horizontal="center" vertical="center"/>
    </xf>
    <xf numFmtId="178" fontId="14" fillId="6" borderId="23" xfId="0" applyNumberFormat="1" applyFont="1" applyFill="1" applyBorder="1" applyAlignment="1">
      <alignment horizontal="center" vertical="center"/>
    </xf>
    <xf numFmtId="178" fontId="17" fillId="8" borderId="20" xfId="0" applyNumberFormat="1" applyFont="1" applyFill="1" applyBorder="1" applyAlignment="1">
      <alignment horizontal="center" vertical="center"/>
    </xf>
    <xf numFmtId="178" fontId="12" fillId="9" borderId="21" xfId="0" applyNumberFormat="1" applyFont="1" applyFill="1" applyBorder="1" applyAlignment="1">
      <alignment horizontal="center" vertical="center"/>
    </xf>
    <xf numFmtId="177" fontId="11" fillId="9" borderId="21" xfId="0" applyNumberFormat="1" applyFont="1" applyFill="1" applyBorder="1" applyAlignment="1">
      <alignment horizontal="center" vertical="center"/>
    </xf>
    <xf numFmtId="178" fontId="14" fillId="8" borderId="18" xfId="0" applyNumberFormat="1" applyFont="1" applyFill="1" applyBorder="1" applyAlignment="1">
      <alignment horizontal="center" vertical="center"/>
    </xf>
    <xf numFmtId="178" fontId="12" fillId="9" borderId="23" xfId="0" applyNumberFormat="1" applyFont="1" applyFill="1" applyBorder="1" applyAlignment="1">
      <alignment horizontal="center" vertical="center"/>
    </xf>
    <xf numFmtId="178" fontId="17" fillId="8" borderId="7" xfId="0" applyNumberFormat="1" applyFont="1" applyFill="1" applyBorder="1" applyAlignment="1">
      <alignment horizontal="center" vertical="center"/>
    </xf>
    <xf numFmtId="178" fontId="17" fillId="8" borderId="5" xfId="0" applyNumberFormat="1" applyFont="1" applyFill="1" applyBorder="1" applyAlignment="1">
      <alignment horizontal="center" vertical="center"/>
    </xf>
    <xf numFmtId="178" fontId="14" fillId="8" borderId="8" xfId="0" applyNumberFormat="1" applyFont="1" applyFill="1" applyBorder="1" applyAlignment="1">
      <alignment horizontal="center" vertical="center"/>
    </xf>
    <xf numFmtId="180" fontId="11" fillId="9" borderId="8" xfId="0" applyNumberFormat="1" applyFont="1" applyFill="1" applyBorder="1" applyAlignment="1">
      <alignment horizontal="center" vertical="center"/>
    </xf>
    <xf numFmtId="178" fontId="14" fillId="8" borderId="5" xfId="0" applyNumberFormat="1" applyFont="1" applyFill="1" applyBorder="1" applyAlignment="1">
      <alignment horizontal="center" vertical="center"/>
    </xf>
    <xf numFmtId="178" fontId="14" fillId="8" borderId="10" xfId="0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8" fillId="2" borderId="0" xfId="0" applyFont="1" applyFill="1">
      <alignment vertical="center"/>
    </xf>
    <xf numFmtId="178" fontId="18" fillId="2" borderId="0" xfId="0" applyNumberFormat="1" applyFont="1" applyFill="1" applyAlignment="1">
      <alignment horizontal="center" vertical="center"/>
    </xf>
    <xf numFmtId="178" fontId="19" fillId="2" borderId="0" xfId="0" applyNumberFormat="1" applyFont="1" applyFill="1" applyAlignment="1">
      <alignment horizontal="center" vertical="center"/>
    </xf>
    <xf numFmtId="180" fontId="6" fillId="5" borderId="0" xfId="0" applyNumberFormat="1" applyFont="1" applyFill="1" applyAlignment="1">
      <alignment horizontal="center" vertical="center"/>
    </xf>
    <xf numFmtId="177" fontId="6" fillId="2" borderId="0" xfId="0" applyNumberFormat="1" applyFont="1" applyFill="1">
      <alignment vertical="center"/>
    </xf>
    <xf numFmtId="178" fontId="18" fillId="2" borderId="0" xfId="0" applyNumberFormat="1" applyFont="1" applyFill="1">
      <alignment vertical="center"/>
    </xf>
    <xf numFmtId="178" fontId="6" fillId="2" borderId="0" xfId="0" applyNumberFormat="1" applyFont="1" applyFill="1">
      <alignment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10" fillId="2" borderId="0" xfId="0" applyFont="1" applyFill="1">
      <alignment vertical="center"/>
    </xf>
    <xf numFmtId="0" fontId="10" fillId="6" borderId="0" xfId="0" applyFont="1" applyFill="1">
      <alignment vertical="center"/>
    </xf>
    <xf numFmtId="178" fontId="12" fillId="4" borderId="29" xfId="0" applyNumberFormat="1" applyFont="1" applyFill="1" applyBorder="1" applyAlignment="1">
      <alignment horizontal="center" vertical="center" shrinkToFit="1"/>
    </xf>
    <xf numFmtId="49" fontId="22" fillId="6" borderId="19" xfId="0" applyNumberFormat="1" applyFont="1" applyFill="1" applyBorder="1" applyAlignment="1">
      <alignment horizontal="center" vertical="center" shrinkToFit="1"/>
    </xf>
    <xf numFmtId="49" fontId="22" fillId="2" borderId="19" xfId="0" applyNumberFormat="1" applyFont="1" applyFill="1" applyBorder="1" applyAlignment="1">
      <alignment horizontal="center" vertical="center" shrinkToFit="1"/>
    </xf>
    <xf numFmtId="49" fontId="8" fillId="4" borderId="21" xfId="0" applyNumberFormat="1" applyFont="1" applyFill="1" applyBorder="1" applyAlignment="1">
      <alignment horizontal="center" vertical="center" wrapText="1"/>
    </xf>
    <xf numFmtId="178" fontId="12" fillId="5" borderId="21" xfId="0" applyNumberFormat="1" applyFont="1" applyFill="1" applyBorder="1" applyAlignment="1">
      <alignment horizontal="center" vertical="center" shrinkToFit="1"/>
    </xf>
    <xf numFmtId="178" fontId="12" fillId="7" borderId="21" xfId="0" applyNumberFormat="1" applyFont="1" applyFill="1" applyBorder="1" applyAlignment="1">
      <alignment horizontal="center" vertical="center" shrinkToFit="1"/>
    </xf>
    <xf numFmtId="178" fontId="12" fillId="4" borderId="21" xfId="0" applyNumberFormat="1" applyFont="1" applyFill="1" applyBorder="1" applyAlignment="1">
      <alignment horizontal="center" vertical="center" shrinkToFit="1"/>
    </xf>
    <xf numFmtId="178" fontId="23" fillId="6" borderId="12" xfId="0" applyNumberFormat="1" applyFont="1" applyFill="1" applyBorder="1" applyAlignment="1">
      <alignment horizontal="center" vertical="center"/>
    </xf>
    <xf numFmtId="178" fontId="23" fillId="8" borderId="18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6" fillId="6" borderId="13" xfId="0" applyFont="1" applyFill="1" applyBorder="1" applyAlignment="1">
      <alignment horizontal="center" vertical="center" wrapText="1"/>
    </xf>
    <xf numFmtId="0" fontId="0" fillId="0" borderId="13" xfId="0" applyBorder="1" applyAlignment="1"/>
    <xf numFmtId="49" fontId="8" fillId="3" borderId="2" xfId="0" applyNumberFormat="1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0" fillId="0" borderId="39" xfId="0" applyBorder="1" applyAlignment="1"/>
    <xf numFmtId="0" fontId="0" fillId="0" borderId="12" xfId="0" applyBorder="1" applyAlignment="1"/>
    <xf numFmtId="49" fontId="9" fillId="3" borderId="1" xfId="0" applyNumberFormat="1" applyFont="1" applyFill="1" applyBorder="1" applyAlignment="1">
      <alignment horizontal="center" vertical="center" wrapText="1"/>
    </xf>
    <xf numFmtId="0" fontId="0" fillId="0" borderId="40" xfId="0" applyBorder="1" applyAlignment="1"/>
    <xf numFmtId="0" fontId="0" fillId="0" borderId="4" xfId="0" applyBorder="1" applyAlignment="1"/>
    <xf numFmtId="178" fontId="11" fillId="0" borderId="15" xfId="0" applyNumberFormat="1" applyFont="1" applyBorder="1" applyAlignment="1">
      <alignment horizontal="center" vertical="center"/>
    </xf>
    <xf numFmtId="0" fontId="0" fillId="0" borderId="34" xfId="0" applyBorder="1" applyAlignment="1"/>
    <xf numFmtId="0" fontId="0" fillId="0" borderId="15" xfId="0" applyBorder="1" applyAlignment="1"/>
    <xf numFmtId="49" fontId="8" fillId="3" borderId="3" xfId="0" applyNumberFormat="1" applyFont="1" applyFill="1" applyBorder="1" applyAlignment="1">
      <alignment horizontal="center" vertical="center" wrapText="1"/>
    </xf>
    <xf numFmtId="0" fontId="0" fillId="0" borderId="14" xfId="0" applyBorder="1" applyAlignment="1"/>
    <xf numFmtId="178" fontId="17" fillId="0" borderId="32" xfId="0" applyNumberFormat="1" applyFont="1" applyBorder="1" applyAlignment="1">
      <alignment horizontal="center" vertical="center"/>
    </xf>
    <xf numFmtId="0" fontId="0" fillId="0" borderId="35" xfId="0" applyBorder="1" applyAlignment="1"/>
    <xf numFmtId="177" fontId="11" fillId="0" borderId="16" xfId="0" applyNumberFormat="1" applyFont="1" applyBorder="1" applyAlignment="1">
      <alignment horizontal="center" vertical="center" shrinkToFit="1"/>
    </xf>
    <xf numFmtId="0" fontId="0" fillId="0" borderId="37" xfId="0" applyBorder="1" applyAlignment="1"/>
    <xf numFmtId="0" fontId="0" fillId="0" borderId="16" xfId="0" applyBorder="1" applyAlignment="1"/>
    <xf numFmtId="49" fontId="4" fillId="2" borderId="0" xfId="0" applyNumberFormat="1" applyFont="1" applyFill="1" applyAlignment="1">
      <alignment horizontal="center" vertical="center" shrinkToFit="1"/>
    </xf>
    <xf numFmtId="49" fontId="5" fillId="2" borderId="0" xfId="0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49" fontId="9" fillId="3" borderId="4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178" fontId="17" fillId="0" borderId="15" xfId="0" applyNumberFormat="1" applyFont="1" applyBorder="1" applyAlignment="1">
      <alignment horizontal="center" vertical="center"/>
    </xf>
    <xf numFmtId="178" fontId="11" fillId="0" borderId="32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 shrinkToFit="1"/>
    </xf>
    <xf numFmtId="0" fontId="0" fillId="0" borderId="36" xfId="0" applyBorder="1" applyAlignment="1"/>
    <xf numFmtId="49" fontId="13" fillId="3" borderId="29" xfId="0" applyNumberFormat="1" applyFont="1" applyFill="1" applyBorder="1" applyAlignment="1">
      <alignment horizontal="center" vertical="center" shrinkToFit="1"/>
    </xf>
    <xf numFmtId="0" fontId="0" fillId="0" borderId="38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9"/>
  <sheetViews>
    <sheetView tabSelected="1" zoomScale="44" zoomScaleNormal="44" zoomScaleSheetLayoutView="45" workbookViewId="0">
      <pane xSplit="18" ySplit="5" topLeftCell="S6" activePane="bottomRight" state="frozen"/>
      <selection pane="topRight" activeCell="C1" sqref="C1"/>
      <selection pane="bottomLeft" activeCell="A5" sqref="A5"/>
      <selection pane="bottomRight" activeCell="J37" sqref="J37"/>
    </sheetView>
  </sheetViews>
  <sheetFormatPr defaultColWidth="34.25" defaultRowHeight="38.25" x14ac:dyDescent="0.3"/>
  <cols>
    <col min="1" max="1" width="7.25" style="1" customWidth="1"/>
    <col min="2" max="2" width="12.375" style="2" bestFit="1" customWidth="1"/>
    <col min="3" max="3" width="45.125" style="2" bestFit="1" customWidth="1"/>
    <col min="4" max="4" width="14.625" style="3" bestFit="1" customWidth="1"/>
    <col min="5" max="5" width="15.75" style="3" customWidth="1"/>
    <col min="6" max="6" width="16.25" style="4" bestFit="1" customWidth="1"/>
    <col min="7" max="7" width="14.25" style="3" bestFit="1" customWidth="1"/>
    <col min="8" max="10" width="18.75" style="3" bestFit="1" customWidth="1"/>
    <col min="11" max="11" width="16.25" style="4" bestFit="1" customWidth="1"/>
    <col min="12" max="14" width="18.75" style="3" bestFit="1" customWidth="1"/>
    <col min="15" max="15" width="16.25" style="4" bestFit="1" customWidth="1"/>
    <col min="16" max="18" width="18.75" style="3" bestFit="1" customWidth="1"/>
    <col min="19" max="19" width="34.25" style="105" customWidth="1"/>
    <col min="20" max="21" width="18.625" style="105" customWidth="1"/>
    <col min="22" max="23" width="18.625" style="2" customWidth="1"/>
    <col min="24" max="25" width="34.25" style="2" customWidth="1"/>
    <col min="26" max="16384" width="34.25" style="2"/>
  </cols>
  <sheetData>
    <row r="1" spans="1:23" ht="39.950000000000003" customHeight="1" x14ac:dyDescent="0.3"/>
    <row r="2" spans="1:23" ht="45" customHeight="1" x14ac:dyDescent="0.3">
      <c r="B2" s="142" t="s">
        <v>0</v>
      </c>
      <c r="C2" s="120"/>
      <c r="D2" s="117"/>
      <c r="E2" s="117"/>
      <c r="F2" s="118"/>
      <c r="G2" s="117"/>
      <c r="H2" s="117"/>
      <c r="I2" s="117"/>
      <c r="J2" s="117"/>
      <c r="K2" s="118"/>
      <c r="L2" s="117"/>
      <c r="M2" s="117"/>
      <c r="N2" s="117"/>
      <c r="O2" s="118"/>
      <c r="P2" s="117"/>
      <c r="Q2" s="117"/>
      <c r="R2" s="5"/>
    </row>
    <row r="3" spans="1:23" ht="39" customHeight="1" thickBot="1" x14ac:dyDescent="0.35">
      <c r="B3" s="143" t="s">
        <v>1</v>
      </c>
      <c r="C3" s="120"/>
      <c r="D3" s="117"/>
      <c r="E3" s="117"/>
      <c r="F3" s="118"/>
      <c r="G3" s="117"/>
      <c r="H3" s="6"/>
      <c r="I3" s="7"/>
      <c r="J3" s="7"/>
      <c r="K3" s="116"/>
      <c r="L3" s="117"/>
      <c r="M3" s="117"/>
      <c r="N3" s="117"/>
      <c r="O3" s="118"/>
      <c r="P3" s="8"/>
      <c r="Q3" s="8"/>
      <c r="R3" s="8"/>
    </row>
    <row r="4" spans="1:23" ht="57" customHeight="1" x14ac:dyDescent="0.3">
      <c r="B4" s="146" t="s">
        <v>2</v>
      </c>
      <c r="C4" s="124" t="s">
        <v>3</v>
      </c>
      <c r="D4" s="135" t="s">
        <v>4</v>
      </c>
      <c r="E4" s="129" t="s">
        <v>5</v>
      </c>
      <c r="F4" s="130"/>
      <c r="G4" s="130"/>
      <c r="H4" s="130"/>
      <c r="I4" s="130"/>
      <c r="J4" s="131"/>
      <c r="K4" s="129" t="s">
        <v>6</v>
      </c>
      <c r="L4" s="130"/>
      <c r="M4" s="130"/>
      <c r="N4" s="131"/>
      <c r="O4" s="145" t="s">
        <v>7</v>
      </c>
      <c r="P4" s="130"/>
      <c r="Q4" s="130"/>
      <c r="R4" s="131"/>
    </row>
    <row r="5" spans="1:23" ht="102" customHeight="1" thickBot="1" x14ac:dyDescent="0.35">
      <c r="B5" s="128"/>
      <c r="C5" s="123"/>
      <c r="D5" s="136"/>
      <c r="E5" s="9" t="s">
        <v>8</v>
      </c>
      <c r="F5" s="10" t="s">
        <v>9</v>
      </c>
      <c r="G5" s="11" t="s">
        <v>10</v>
      </c>
      <c r="H5" s="12" t="s">
        <v>11</v>
      </c>
      <c r="I5" s="12" t="s">
        <v>12</v>
      </c>
      <c r="J5" s="13" t="s">
        <v>13</v>
      </c>
      <c r="K5" s="9" t="s">
        <v>9</v>
      </c>
      <c r="L5" s="12" t="s">
        <v>11</v>
      </c>
      <c r="M5" s="12" t="s">
        <v>12</v>
      </c>
      <c r="N5" s="14" t="s">
        <v>13</v>
      </c>
      <c r="O5" s="15" t="s">
        <v>9</v>
      </c>
      <c r="P5" s="12" t="s">
        <v>11</v>
      </c>
      <c r="Q5" s="12" t="s">
        <v>12</v>
      </c>
      <c r="R5" s="14" t="s">
        <v>13</v>
      </c>
      <c r="T5" s="110" t="s">
        <v>14</v>
      </c>
      <c r="U5" s="110" t="s">
        <v>15</v>
      </c>
      <c r="V5" s="110" t="s">
        <v>16</v>
      </c>
      <c r="W5" s="110" t="s">
        <v>17</v>
      </c>
    </row>
    <row r="6" spans="1:23" ht="63" customHeight="1" x14ac:dyDescent="0.3">
      <c r="B6" s="16">
        <v>1</v>
      </c>
      <c r="C6" s="17" t="s">
        <v>18</v>
      </c>
      <c r="D6" s="18">
        <v>40</v>
      </c>
      <c r="E6" s="19">
        <v>9</v>
      </c>
      <c r="F6" s="20">
        <v>2</v>
      </c>
      <c r="G6" s="21">
        <f t="shared" ref="G6:G40" si="0">IFERROR(SUM(F6/E6),0)</f>
        <v>0.22222222222222221</v>
      </c>
      <c r="H6" s="22">
        <f t="shared" ref="H6:H40" si="1">F6-T6</f>
        <v>2</v>
      </c>
      <c r="I6" s="22">
        <f t="shared" ref="I6:I40" si="2">F6-V6</f>
        <v>0</v>
      </c>
      <c r="J6" s="23">
        <v>53</v>
      </c>
      <c r="K6" s="24">
        <v>0</v>
      </c>
      <c r="L6" s="25">
        <f t="shared" ref="L6:L40" si="3">K6-U6</f>
        <v>0</v>
      </c>
      <c r="M6" s="22">
        <f t="shared" ref="M6:M40" si="4">K6-W6</f>
        <v>0</v>
      </c>
      <c r="N6" s="26">
        <v>3</v>
      </c>
      <c r="O6" s="27">
        <f t="shared" ref="O6:O41" si="5">SUM(F6+K6)</f>
        <v>2</v>
      </c>
      <c r="P6" s="22">
        <f t="shared" ref="P6:P40" si="6">SUM(H6+L6)</f>
        <v>2</v>
      </c>
      <c r="Q6" s="22">
        <f t="shared" ref="Q6:Q40" si="7">SUM(I6+M6)</f>
        <v>0</v>
      </c>
      <c r="R6" s="26">
        <f t="shared" ref="R6:R40" si="8">SUM(J6+N6)</f>
        <v>56</v>
      </c>
      <c r="T6" s="45">
        <v>0</v>
      </c>
      <c r="U6" s="111">
        <v>0</v>
      </c>
      <c r="V6" s="45">
        <v>2</v>
      </c>
      <c r="W6" s="45">
        <v>0</v>
      </c>
    </row>
    <row r="7" spans="1:23" s="40" customFormat="1" ht="63" customHeight="1" x14ac:dyDescent="0.3">
      <c r="A7" s="1"/>
      <c r="B7" s="28">
        <v>2</v>
      </c>
      <c r="C7" s="29" t="s">
        <v>19</v>
      </c>
      <c r="D7" s="30">
        <v>40</v>
      </c>
      <c r="E7" s="31">
        <v>4</v>
      </c>
      <c r="F7" s="32">
        <v>1</v>
      </c>
      <c r="G7" s="33">
        <f t="shared" si="0"/>
        <v>0.25</v>
      </c>
      <c r="H7" s="34">
        <f t="shared" si="1"/>
        <v>1</v>
      </c>
      <c r="I7" s="34">
        <f t="shared" si="2"/>
        <v>1</v>
      </c>
      <c r="J7" s="35">
        <v>18</v>
      </c>
      <c r="K7" s="36">
        <v>1</v>
      </c>
      <c r="L7" s="37">
        <f t="shared" si="3"/>
        <v>1</v>
      </c>
      <c r="M7" s="34">
        <f t="shared" si="4"/>
        <v>0</v>
      </c>
      <c r="N7" s="38">
        <v>5</v>
      </c>
      <c r="O7" s="39">
        <f t="shared" si="5"/>
        <v>2</v>
      </c>
      <c r="P7" s="34">
        <f t="shared" si="6"/>
        <v>2</v>
      </c>
      <c r="Q7" s="34">
        <f t="shared" si="7"/>
        <v>1</v>
      </c>
      <c r="R7" s="38">
        <f t="shared" si="8"/>
        <v>23</v>
      </c>
      <c r="S7" s="106"/>
      <c r="T7" s="32">
        <v>0</v>
      </c>
      <c r="U7" s="112">
        <v>0</v>
      </c>
      <c r="V7" s="32">
        <v>0</v>
      </c>
      <c r="W7" s="32">
        <v>1</v>
      </c>
    </row>
    <row r="8" spans="1:23" ht="63" customHeight="1" x14ac:dyDescent="0.3">
      <c r="B8" s="41">
        <v>3</v>
      </c>
      <c r="C8" s="42" t="s">
        <v>20</v>
      </c>
      <c r="D8" s="43">
        <v>100</v>
      </c>
      <c r="E8" s="44">
        <v>7</v>
      </c>
      <c r="F8" s="45">
        <v>6</v>
      </c>
      <c r="G8" s="46">
        <f t="shared" si="0"/>
        <v>0.8571428571428571</v>
      </c>
      <c r="H8" s="47">
        <f t="shared" si="1"/>
        <v>6</v>
      </c>
      <c r="I8" s="47">
        <f t="shared" si="2"/>
        <v>0</v>
      </c>
      <c r="J8" s="48">
        <v>52</v>
      </c>
      <c r="K8" s="49">
        <v>1</v>
      </c>
      <c r="L8" s="50">
        <f t="shared" si="3"/>
        <v>1</v>
      </c>
      <c r="M8" s="47">
        <f t="shared" si="4"/>
        <v>0</v>
      </c>
      <c r="N8" s="51">
        <v>3</v>
      </c>
      <c r="O8" s="52">
        <f t="shared" si="5"/>
        <v>7</v>
      </c>
      <c r="P8" s="47">
        <f t="shared" si="6"/>
        <v>7</v>
      </c>
      <c r="Q8" s="47">
        <f t="shared" si="7"/>
        <v>0</v>
      </c>
      <c r="R8" s="51">
        <f t="shared" si="8"/>
        <v>55</v>
      </c>
      <c r="T8" s="45">
        <v>0</v>
      </c>
      <c r="U8" s="111">
        <v>0</v>
      </c>
      <c r="V8" s="45">
        <v>6</v>
      </c>
      <c r="W8" s="45">
        <v>1</v>
      </c>
    </row>
    <row r="9" spans="1:23" s="40" customFormat="1" ht="63" customHeight="1" x14ac:dyDescent="0.3">
      <c r="A9" s="1"/>
      <c r="B9" s="28">
        <v>4</v>
      </c>
      <c r="C9" s="29" t="s">
        <v>21</v>
      </c>
      <c r="D9" s="30">
        <v>30</v>
      </c>
      <c r="E9" s="31">
        <v>5</v>
      </c>
      <c r="F9" s="32">
        <v>3</v>
      </c>
      <c r="G9" s="33">
        <f t="shared" si="0"/>
        <v>0.6</v>
      </c>
      <c r="H9" s="34">
        <f t="shared" si="1"/>
        <v>3</v>
      </c>
      <c r="I9" s="34">
        <f t="shared" si="2"/>
        <v>0</v>
      </c>
      <c r="J9" s="35">
        <v>27</v>
      </c>
      <c r="K9" s="36">
        <v>0</v>
      </c>
      <c r="L9" s="37">
        <f t="shared" si="3"/>
        <v>0</v>
      </c>
      <c r="M9" s="34">
        <f t="shared" si="4"/>
        <v>-1</v>
      </c>
      <c r="N9" s="38">
        <v>2</v>
      </c>
      <c r="O9" s="39">
        <f t="shared" si="5"/>
        <v>3</v>
      </c>
      <c r="P9" s="34">
        <f t="shared" si="6"/>
        <v>3</v>
      </c>
      <c r="Q9" s="34">
        <f t="shared" si="7"/>
        <v>-1</v>
      </c>
      <c r="R9" s="38">
        <f t="shared" si="8"/>
        <v>29</v>
      </c>
      <c r="S9" s="106"/>
      <c r="T9" s="32">
        <v>0</v>
      </c>
      <c r="U9" s="112">
        <v>0</v>
      </c>
      <c r="V9" s="32">
        <v>3</v>
      </c>
      <c r="W9" s="32">
        <v>1</v>
      </c>
    </row>
    <row r="10" spans="1:23" ht="63" customHeight="1" x14ac:dyDescent="0.3">
      <c r="B10" s="41">
        <v>5</v>
      </c>
      <c r="C10" s="42" t="s">
        <v>22</v>
      </c>
      <c r="D10" s="43">
        <v>40</v>
      </c>
      <c r="E10" s="44">
        <v>1</v>
      </c>
      <c r="F10" s="45">
        <v>2</v>
      </c>
      <c r="G10" s="46">
        <f t="shared" si="0"/>
        <v>2</v>
      </c>
      <c r="H10" s="47">
        <f t="shared" si="1"/>
        <v>2</v>
      </c>
      <c r="I10" s="47">
        <f t="shared" si="2"/>
        <v>0</v>
      </c>
      <c r="J10" s="48">
        <v>20</v>
      </c>
      <c r="K10" s="49">
        <v>0</v>
      </c>
      <c r="L10" s="50">
        <f t="shared" si="3"/>
        <v>0</v>
      </c>
      <c r="M10" s="47">
        <f t="shared" si="4"/>
        <v>0</v>
      </c>
      <c r="N10" s="51">
        <v>0</v>
      </c>
      <c r="O10" s="52">
        <f t="shared" si="5"/>
        <v>2</v>
      </c>
      <c r="P10" s="47">
        <f t="shared" si="6"/>
        <v>2</v>
      </c>
      <c r="Q10" s="47">
        <f t="shared" si="7"/>
        <v>0</v>
      </c>
      <c r="R10" s="51">
        <f t="shared" si="8"/>
        <v>20</v>
      </c>
      <c r="T10" s="45">
        <v>0</v>
      </c>
      <c r="U10" s="111">
        <v>0</v>
      </c>
      <c r="V10" s="45">
        <v>2</v>
      </c>
      <c r="W10" s="45">
        <v>0</v>
      </c>
    </row>
    <row r="11" spans="1:23" s="40" customFormat="1" ht="63" customHeight="1" x14ac:dyDescent="0.3">
      <c r="A11" s="1"/>
      <c r="B11" s="28">
        <v>6</v>
      </c>
      <c r="C11" s="108" t="s">
        <v>23</v>
      </c>
      <c r="D11" s="30">
        <v>90</v>
      </c>
      <c r="E11" s="31">
        <v>21</v>
      </c>
      <c r="F11" s="32">
        <v>9</v>
      </c>
      <c r="G11" s="33">
        <f t="shared" si="0"/>
        <v>0.42857142857142855</v>
      </c>
      <c r="H11" s="34">
        <f t="shared" si="1"/>
        <v>9</v>
      </c>
      <c r="I11" s="34">
        <f t="shared" si="2"/>
        <v>1</v>
      </c>
      <c r="J11" s="35">
        <v>56</v>
      </c>
      <c r="K11" s="36">
        <v>2</v>
      </c>
      <c r="L11" s="37">
        <f t="shared" si="3"/>
        <v>2</v>
      </c>
      <c r="M11" s="34">
        <f t="shared" si="4"/>
        <v>0</v>
      </c>
      <c r="N11" s="38">
        <v>10</v>
      </c>
      <c r="O11" s="39">
        <f t="shared" si="5"/>
        <v>11</v>
      </c>
      <c r="P11" s="34">
        <f t="shared" si="6"/>
        <v>11</v>
      </c>
      <c r="Q11" s="34">
        <f t="shared" si="7"/>
        <v>1</v>
      </c>
      <c r="R11" s="38">
        <f t="shared" si="8"/>
        <v>66</v>
      </c>
      <c r="S11" s="106"/>
      <c r="T11" s="32">
        <v>0</v>
      </c>
      <c r="U11" s="112">
        <v>0</v>
      </c>
      <c r="V11" s="32">
        <v>8</v>
      </c>
      <c r="W11" s="32">
        <v>2</v>
      </c>
    </row>
    <row r="12" spans="1:23" ht="63" customHeight="1" x14ac:dyDescent="0.3">
      <c r="B12" s="41">
        <v>7</v>
      </c>
      <c r="C12" s="109" t="s">
        <v>24</v>
      </c>
      <c r="D12" s="43">
        <v>50</v>
      </c>
      <c r="E12" s="44">
        <v>6</v>
      </c>
      <c r="F12" s="45">
        <v>3</v>
      </c>
      <c r="G12" s="46">
        <f t="shared" si="0"/>
        <v>0.5</v>
      </c>
      <c r="H12" s="47">
        <f t="shared" si="1"/>
        <v>3</v>
      </c>
      <c r="I12" s="47">
        <f t="shared" si="2"/>
        <v>1</v>
      </c>
      <c r="J12" s="48">
        <v>38</v>
      </c>
      <c r="K12" s="49">
        <v>1</v>
      </c>
      <c r="L12" s="50">
        <f t="shared" si="3"/>
        <v>1</v>
      </c>
      <c r="M12" s="47">
        <f t="shared" si="4"/>
        <v>0</v>
      </c>
      <c r="N12" s="51">
        <v>14</v>
      </c>
      <c r="O12" s="52">
        <f t="shared" si="5"/>
        <v>4</v>
      </c>
      <c r="P12" s="47">
        <f t="shared" si="6"/>
        <v>4</v>
      </c>
      <c r="Q12" s="47">
        <f t="shared" si="7"/>
        <v>1</v>
      </c>
      <c r="R12" s="51">
        <f t="shared" si="8"/>
        <v>52</v>
      </c>
      <c r="T12" s="45">
        <v>0</v>
      </c>
      <c r="U12" s="111">
        <v>0</v>
      </c>
      <c r="V12" s="45">
        <v>2</v>
      </c>
      <c r="W12" s="45">
        <v>1</v>
      </c>
    </row>
    <row r="13" spans="1:23" s="40" customFormat="1" ht="63" customHeight="1" x14ac:dyDescent="0.3">
      <c r="A13" s="1"/>
      <c r="B13" s="28">
        <v>8</v>
      </c>
      <c r="C13" s="108" t="s">
        <v>25</v>
      </c>
      <c r="D13" s="30">
        <v>40</v>
      </c>
      <c r="E13" s="31">
        <v>10</v>
      </c>
      <c r="F13" s="32">
        <v>1</v>
      </c>
      <c r="G13" s="33">
        <f t="shared" si="0"/>
        <v>0.1</v>
      </c>
      <c r="H13" s="34">
        <f t="shared" si="1"/>
        <v>1</v>
      </c>
      <c r="I13" s="34">
        <f t="shared" si="2"/>
        <v>0</v>
      </c>
      <c r="J13" s="35">
        <v>26</v>
      </c>
      <c r="K13" s="36">
        <v>0</v>
      </c>
      <c r="L13" s="37">
        <f t="shared" si="3"/>
        <v>0</v>
      </c>
      <c r="M13" s="34">
        <f t="shared" si="4"/>
        <v>0</v>
      </c>
      <c r="N13" s="38">
        <v>13</v>
      </c>
      <c r="O13" s="39">
        <f t="shared" si="5"/>
        <v>1</v>
      </c>
      <c r="P13" s="34">
        <f t="shared" si="6"/>
        <v>1</v>
      </c>
      <c r="Q13" s="34">
        <f t="shared" si="7"/>
        <v>0</v>
      </c>
      <c r="R13" s="38">
        <f t="shared" si="8"/>
        <v>39</v>
      </c>
      <c r="S13" s="106"/>
      <c r="T13" s="32">
        <v>0</v>
      </c>
      <c r="U13" s="112">
        <v>0</v>
      </c>
      <c r="V13" s="32">
        <v>1</v>
      </c>
      <c r="W13" s="32">
        <v>0</v>
      </c>
    </row>
    <row r="14" spans="1:23" ht="63" customHeight="1" x14ac:dyDescent="0.3">
      <c r="B14" s="41">
        <v>9</v>
      </c>
      <c r="C14" s="109" t="s">
        <v>26</v>
      </c>
      <c r="D14" s="43">
        <v>40</v>
      </c>
      <c r="E14" s="44">
        <v>8</v>
      </c>
      <c r="F14" s="45">
        <v>6</v>
      </c>
      <c r="G14" s="46">
        <f t="shared" si="0"/>
        <v>0.75</v>
      </c>
      <c r="H14" s="47">
        <f t="shared" si="1"/>
        <v>6</v>
      </c>
      <c r="I14" s="47">
        <f t="shared" si="2"/>
        <v>0</v>
      </c>
      <c r="J14" s="48">
        <v>49</v>
      </c>
      <c r="K14" s="49">
        <v>0</v>
      </c>
      <c r="L14" s="50">
        <f t="shared" si="3"/>
        <v>0</v>
      </c>
      <c r="M14" s="47">
        <f t="shared" si="4"/>
        <v>-1</v>
      </c>
      <c r="N14" s="51">
        <v>7</v>
      </c>
      <c r="O14" s="52">
        <f t="shared" si="5"/>
        <v>6</v>
      </c>
      <c r="P14" s="47">
        <f t="shared" si="6"/>
        <v>6</v>
      </c>
      <c r="Q14" s="47">
        <f t="shared" si="7"/>
        <v>-1</v>
      </c>
      <c r="R14" s="51">
        <f t="shared" si="8"/>
        <v>56</v>
      </c>
      <c r="T14" s="45">
        <v>0</v>
      </c>
      <c r="U14" s="111">
        <v>0</v>
      </c>
      <c r="V14" s="45">
        <v>6</v>
      </c>
      <c r="W14" s="45">
        <v>1</v>
      </c>
    </row>
    <row r="15" spans="1:23" s="40" customFormat="1" ht="63" customHeight="1" x14ac:dyDescent="0.3">
      <c r="A15" s="1"/>
      <c r="B15" s="28">
        <v>10</v>
      </c>
      <c r="C15" s="108" t="s">
        <v>27</v>
      </c>
      <c r="D15" s="30">
        <v>20</v>
      </c>
      <c r="E15" s="31">
        <v>1</v>
      </c>
      <c r="F15" s="32">
        <v>1</v>
      </c>
      <c r="G15" s="33">
        <f t="shared" si="0"/>
        <v>1</v>
      </c>
      <c r="H15" s="34">
        <f t="shared" si="1"/>
        <v>1</v>
      </c>
      <c r="I15" s="34">
        <f t="shared" si="2"/>
        <v>0</v>
      </c>
      <c r="J15" s="35">
        <v>8</v>
      </c>
      <c r="K15" s="36">
        <v>2</v>
      </c>
      <c r="L15" s="37">
        <f t="shared" si="3"/>
        <v>2</v>
      </c>
      <c r="M15" s="34">
        <f t="shared" si="4"/>
        <v>0</v>
      </c>
      <c r="N15" s="38">
        <v>10</v>
      </c>
      <c r="O15" s="39">
        <f t="shared" si="5"/>
        <v>3</v>
      </c>
      <c r="P15" s="34">
        <f t="shared" si="6"/>
        <v>3</v>
      </c>
      <c r="Q15" s="34">
        <f t="shared" si="7"/>
        <v>0</v>
      </c>
      <c r="R15" s="38">
        <f t="shared" si="8"/>
        <v>18</v>
      </c>
      <c r="S15" s="106"/>
      <c r="T15" s="32">
        <v>0</v>
      </c>
      <c r="U15" s="112">
        <v>0</v>
      </c>
      <c r="V15" s="32">
        <v>1</v>
      </c>
      <c r="W15" s="32">
        <v>2</v>
      </c>
    </row>
    <row r="16" spans="1:23" ht="63" customHeight="1" x14ac:dyDescent="0.3">
      <c r="B16" s="41">
        <v>11</v>
      </c>
      <c r="C16" s="109" t="s">
        <v>28</v>
      </c>
      <c r="D16" s="43">
        <v>30</v>
      </c>
      <c r="E16" s="44">
        <v>3</v>
      </c>
      <c r="F16" s="45">
        <v>4</v>
      </c>
      <c r="G16" s="46">
        <f t="shared" si="0"/>
        <v>1.3333333333333333</v>
      </c>
      <c r="H16" s="47">
        <f t="shared" si="1"/>
        <v>4</v>
      </c>
      <c r="I16" s="47">
        <f t="shared" si="2"/>
        <v>0</v>
      </c>
      <c r="J16" s="48">
        <v>13</v>
      </c>
      <c r="K16" s="49">
        <v>3</v>
      </c>
      <c r="L16" s="50">
        <f t="shared" si="3"/>
        <v>3</v>
      </c>
      <c r="M16" s="47">
        <f t="shared" si="4"/>
        <v>0</v>
      </c>
      <c r="N16" s="51">
        <v>11</v>
      </c>
      <c r="O16" s="52">
        <f t="shared" si="5"/>
        <v>7</v>
      </c>
      <c r="P16" s="47">
        <f t="shared" si="6"/>
        <v>7</v>
      </c>
      <c r="Q16" s="47">
        <f t="shared" si="7"/>
        <v>0</v>
      </c>
      <c r="R16" s="51">
        <f t="shared" si="8"/>
        <v>24</v>
      </c>
      <c r="T16" s="45">
        <v>0</v>
      </c>
      <c r="U16" s="111">
        <v>0</v>
      </c>
      <c r="V16" s="45">
        <v>4</v>
      </c>
      <c r="W16" s="45">
        <v>3</v>
      </c>
    </row>
    <row r="17" spans="1:23" s="40" customFormat="1" ht="63" customHeight="1" x14ac:dyDescent="0.3">
      <c r="A17" s="1"/>
      <c r="B17" s="28">
        <v>12</v>
      </c>
      <c r="C17" s="108" t="s">
        <v>29</v>
      </c>
      <c r="D17" s="30">
        <v>40</v>
      </c>
      <c r="E17" s="31">
        <v>8</v>
      </c>
      <c r="F17" s="32">
        <v>2</v>
      </c>
      <c r="G17" s="33">
        <f t="shared" si="0"/>
        <v>0.25</v>
      </c>
      <c r="H17" s="34">
        <f t="shared" si="1"/>
        <v>2</v>
      </c>
      <c r="I17" s="34">
        <f t="shared" si="2"/>
        <v>0</v>
      </c>
      <c r="J17" s="35">
        <v>28</v>
      </c>
      <c r="K17" s="36">
        <v>0</v>
      </c>
      <c r="L17" s="37">
        <f t="shared" si="3"/>
        <v>0</v>
      </c>
      <c r="M17" s="34">
        <f t="shared" si="4"/>
        <v>0</v>
      </c>
      <c r="N17" s="38">
        <v>3</v>
      </c>
      <c r="O17" s="39">
        <f t="shared" si="5"/>
        <v>2</v>
      </c>
      <c r="P17" s="34">
        <f t="shared" si="6"/>
        <v>2</v>
      </c>
      <c r="Q17" s="34">
        <f t="shared" si="7"/>
        <v>0</v>
      </c>
      <c r="R17" s="38">
        <f t="shared" si="8"/>
        <v>31</v>
      </c>
      <c r="S17" s="106"/>
      <c r="T17" s="32">
        <v>0</v>
      </c>
      <c r="U17" s="112">
        <v>0</v>
      </c>
      <c r="V17" s="32">
        <v>2</v>
      </c>
      <c r="W17" s="32">
        <v>0</v>
      </c>
    </row>
    <row r="18" spans="1:23" ht="63" customHeight="1" x14ac:dyDescent="0.3">
      <c r="B18" s="41">
        <v>13</v>
      </c>
      <c r="C18" s="42" t="s">
        <v>30</v>
      </c>
      <c r="D18" s="43">
        <v>70</v>
      </c>
      <c r="E18" s="44">
        <v>3</v>
      </c>
      <c r="F18" s="45">
        <v>3</v>
      </c>
      <c r="G18" s="46">
        <f t="shared" si="0"/>
        <v>1</v>
      </c>
      <c r="H18" s="47">
        <f t="shared" si="1"/>
        <v>3</v>
      </c>
      <c r="I18" s="47">
        <f t="shared" si="2"/>
        <v>0</v>
      </c>
      <c r="J18" s="48">
        <v>27</v>
      </c>
      <c r="K18" s="49">
        <v>1</v>
      </c>
      <c r="L18" s="50">
        <f t="shared" si="3"/>
        <v>1</v>
      </c>
      <c r="M18" s="47">
        <f t="shared" si="4"/>
        <v>0</v>
      </c>
      <c r="N18" s="51">
        <v>6</v>
      </c>
      <c r="O18" s="52">
        <f t="shared" si="5"/>
        <v>4</v>
      </c>
      <c r="P18" s="47">
        <f t="shared" si="6"/>
        <v>4</v>
      </c>
      <c r="Q18" s="47">
        <f t="shared" si="7"/>
        <v>0</v>
      </c>
      <c r="R18" s="51">
        <f t="shared" si="8"/>
        <v>33</v>
      </c>
      <c r="T18" s="45">
        <v>0</v>
      </c>
      <c r="U18" s="111">
        <v>0</v>
      </c>
      <c r="V18" s="45">
        <v>3</v>
      </c>
      <c r="W18" s="45">
        <v>1</v>
      </c>
    </row>
    <row r="19" spans="1:23" s="40" customFormat="1" ht="63" customHeight="1" x14ac:dyDescent="0.3">
      <c r="A19" s="1"/>
      <c r="B19" s="28">
        <v>14</v>
      </c>
      <c r="C19" s="29" t="s">
        <v>31</v>
      </c>
      <c r="D19" s="30">
        <v>40</v>
      </c>
      <c r="E19" s="31">
        <v>4</v>
      </c>
      <c r="F19" s="32">
        <v>13</v>
      </c>
      <c r="G19" s="33">
        <f t="shared" si="0"/>
        <v>3.25</v>
      </c>
      <c r="H19" s="34">
        <f t="shared" si="1"/>
        <v>13</v>
      </c>
      <c r="I19" s="34">
        <f t="shared" si="2"/>
        <v>3</v>
      </c>
      <c r="J19" s="35">
        <v>116</v>
      </c>
      <c r="K19" s="36">
        <v>7</v>
      </c>
      <c r="L19" s="37">
        <f t="shared" si="3"/>
        <v>7</v>
      </c>
      <c r="M19" s="34">
        <f t="shared" si="4"/>
        <v>1</v>
      </c>
      <c r="N19" s="38">
        <v>21</v>
      </c>
      <c r="O19" s="39">
        <f t="shared" si="5"/>
        <v>20</v>
      </c>
      <c r="P19" s="34">
        <f t="shared" si="6"/>
        <v>20</v>
      </c>
      <c r="Q19" s="34">
        <f t="shared" si="7"/>
        <v>4</v>
      </c>
      <c r="R19" s="38">
        <f t="shared" si="8"/>
        <v>137</v>
      </c>
      <c r="S19" s="106"/>
      <c r="T19" s="32">
        <v>0</v>
      </c>
      <c r="U19" s="112">
        <v>0</v>
      </c>
      <c r="V19" s="32">
        <v>10</v>
      </c>
      <c r="W19" s="32">
        <v>6</v>
      </c>
    </row>
    <row r="20" spans="1:23" ht="63" customHeight="1" x14ac:dyDescent="0.3">
      <c r="B20" s="41">
        <v>15</v>
      </c>
      <c r="C20" s="109" t="s">
        <v>32</v>
      </c>
      <c r="D20" s="43">
        <v>79</v>
      </c>
      <c r="E20" s="44">
        <v>0</v>
      </c>
      <c r="F20" s="45">
        <v>3</v>
      </c>
      <c r="G20" s="46">
        <f t="shared" si="0"/>
        <v>0</v>
      </c>
      <c r="H20" s="47">
        <f t="shared" si="1"/>
        <v>3</v>
      </c>
      <c r="I20" s="47">
        <f t="shared" si="2"/>
        <v>1</v>
      </c>
      <c r="J20" s="48">
        <v>32</v>
      </c>
      <c r="K20" s="49">
        <v>2</v>
      </c>
      <c r="L20" s="50">
        <f t="shared" si="3"/>
        <v>2</v>
      </c>
      <c r="M20" s="47">
        <f t="shared" si="4"/>
        <v>0</v>
      </c>
      <c r="N20" s="51">
        <v>7</v>
      </c>
      <c r="O20" s="52">
        <f t="shared" si="5"/>
        <v>5</v>
      </c>
      <c r="P20" s="47">
        <f t="shared" si="6"/>
        <v>5</v>
      </c>
      <c r="Q20" s="47">
        <f t="shared" si="7"/>
        <v>1</v>
      </c>
      <c r="R20" s="51">
        <f t="shared" si="8"/>
        <v>39</v>
      </c>
      <c r="T20" s="45">
        <v>0</v>
      </c>
      <c r="U20" s="111">
        <v>0</v>
      </c>
      <c r="V20" s="45">
        <v>2</v>
      </c>
      <c r="W20" s="45">
        <v>2</v>
      </c>
    </row>
    <row r="21" spans="1:23" s="40" customFormat="1" ht="63" customHeight="1" x14ac:dyDescent="0.3">
      <c r="A21" s="1"/>
      <c r="B21" s="28">
        <v>16</v>
      </c>
      <c r="C21" s="108" t="s">
        <v>33</v>
      </c>
      <c r="D21" s="30">
        <v>40</v>
      </c>
      <c r="E21" s="31">
        <v>10</v>
      </c>
      <c r="F21" s="32">
        <v>5</v>
      </c>
      <c r="G21" s="33">
        <f t="shared" si="0"/>
        <v>0.5</v>
      </c>
      <c r="H21" s="34">
        <f t="shared" si="1"/>
        <v>5</v>
      </c>
      <c r="I21" s="34">
        <f t="shared" si="2"/>
        <v>2</v>
      </c>
      <c r="J21" s="35">
        <v>37</v>
      </c>
      <c r="K21" s="36">
        <v>2</v>
      </c>
      <c r="L21" s="37">
        <f t="shared" si="3"/>
        <v>2</v>
      </c>
      <c r="M21" s="34">
        <f t="shared" si="4"/>
        <v>1</v>
      </c>
      <c r="N21" s="38">
        <v>3</v>
      </c>
      <c r="O21" s="39">
        <f t="shared" si="5"/>
        <v>7</v>
      </c>
      <c r="P21" s="34">
        <f t="shared" si="6"/>
        <v>7</v>
      </c>
      <c r="Q21" s="34">
        <f t="shared" si="7"/>
        <v>3</v>
      </c>
      <c r="R21" s="38">
        <f t="shared" si="8"/>
        <v>40</v>
      </c>
      <c r="S21" s="106"/>
      <c r="T21" s="32">
        <v>0</v>
      </c>
      <c r="U21" s="112">
        <v>0</v>
      </c>
      <c r="V21" s="32">
        <v>3</v>
      </c>
      <c r="W21" s="32">
        <v>1</v>
      </c>
    </row>
    <row r="22" spans="1:23" ht="63" customHeight="1" x14ac:dyDescent="0.3">
      <c r="B22" s="41">
        <v>17</v>
      </c>
      <c r="C22" s="109" t="s">
        <v>34</v>
      </c>
      <c r="D22" s="43">
        <v>54</v>
      </c>
      <c r="E22" s="44">
        <v>11</v>
      </c>
      <c r="F22" s="45">
        <v>10</v>
      </c>
      <c r="G22" s="46">
        <f t="shared" si="0"/>
        <v>0.90909090909090906</v>
      </c>
      <c r="H22" s="47">
        <f t="shared" si="1"/>
        <v>10</v>
      </c>
      <c r="I22" s="47">
        <f t="shared" si="2"/>
        <v>3</v>
      </c>
      <c r="J22" s="48">
        <v>66</v>
      </c>
      <c r="K22" s="49">
        <v>2</v>
      </c>
      <c r="L22" s="50">
        <f t="shared" si="3"/>
        <v>2</v>
      </c>
      <c r="M22" s="47">
        <f t="shared" si="4"/>
        <v>0</v>
      </c>
      <c r="N22" s="51">
        <v>4</v>
      </c>
      <c r="O22" s="52">
        <f t="shared" si="5"/>
        <v>12</v>
      </c>
      <c r="P22" s="47">
        <f t="shared" si="6"/>
        <v>12</v>
      </c>
      <c r="Q22" s="47">
        <f t="shared" si="7"/>
        <v>3</v>
      </c>
      <c r="R22" s="51">
        <f t="shared" si="8"/>
        <v>70</v>
      </c>
      <c r="T22" s="45">
        <v>0</v>
      </c>
      <c r="U22" s="111">
        <v>0</v>
      </c>
      <c r="V22" s="45">
        <v>7</v>
      </c>
      <c r="W22" s="45">
        <v>2</v>
      </c>
    </row>
    <row r="23" spans="1:23" s="40" customFormat="1" ht="63" customHeight="1" x14ac:dyDescent="0.3">
      <c r="A23" s="1"/>
      <c r="B23" s="28">
        <v>18</v>
      </c>
      <c r="C23" s="29" t="s">
        <v>35</v>
      </c>
      <c r="D23" s="30">
        <v>123</v>
      </c>
      <c r="E23" s="31">
        <v>2</v>
      </c>
      <c r="F23" s="32">
        <v>16</v>
      </c>
      <c r="G23" s="33">
        <f t="shared" si="0"/>
        <v>8</v>
      </c>
      <c r="H23" s="34">
        <f t="shared" si="1"/>
        <v>16</v>
      </c>
      <c r="I23" s="34">
        <f t="shared" si="2"/>
        <v>1</v>
      </c>
      <c r="J23" s="35">
        <v>199</v>
      </c>
      <c r="K23" s="36">
        <v>5</v>
      </c>
      <c r="L23" s="37">
        <f t="shared" si="3"/>
        <v>5</v>
      </c>
      <c r="M23" s="34">
        <f t="shared" si="4"/>
        <v>1</v>
      </c>
      <c r="N23" s="38">
        <v>40</v>
      </c>
      <c r="O23" s="39">
        <f t="shared" si="5"/>
        <v>21</v>
      </c>
      <c r="P23" s="34">
        <f t="shared" si="6"/>
        <v>21</v>
      </c>
      <c r="Q23" s="34">
        <f t="shared" si="7"/>
        <v>2</v>
      </c>
      <c r="R23" s="38">
        <f t="shared" si="8"/>
        <v>239</v>
      </c>
      <c r="S23" s="106"/>
      <c r="T23" s="32">
        <v>0</v>
      </c>
      <c r="U23" s="112">
        <v>0</v>
      </c>
      <c r="V23" s="32">
        <v>15</v>
      </c>
      <c r="W23" s="32">
        <v>4</v>
      </c>
    </row>
    <row r="24" spans="1:23" ht="63" customHeight="1" x14ac:dyDescent="0.3">
      <c r="B24" s="41">
        <v>19</v>
      </c>
      <c r="C24" s="109" t="s">
        <v>36</v>
      </c>
      <c r="D24" s="43">
        <v>58</v>
      </c>
      <c r="E24" s="44">
        <v>4</v>
      </c>
      <c r="F24" s="45">
        <v>3</v>
      </c>
      <c r="G24" s="46">
        <f t="shared" si="0"/>
        <v>0.75</v>
      </c>
      <c r="H24" s="47">
        <f t="shared" si="1"/>
        <v>3</v>
      </c>
      <c r="I24" s="47">
        <f t="shared" si="2"/>
        <v>0</v>
      </c>
      <c r="J24" s="48">
        <v>38</v>
      </c>
      <c r="K24" s="49">
        <v>2</v>
      </c>
      <c r="L24" s="50">
        <f t="shared" si="3"/>
        <v>2</v>
      </c>
      <c r="M24" s="47">
        <f t="shared" si="4"/>
        <v>-1</v>
      </c>
      <c r="N24" s="51">
        <v>10</v>
      </c>
      <c r="O24" s="52">
        <f t="shared" si="5"/>
        <v>5</v>
      </c>
      <c r="P24" s="47">
        <f t="shared" si="6"/>
        <v>5</v>
      </c>
      <c r="Q24" s="47">
        <f t="shared" si="7"/>
        <v>-1</v>
      </c>
      <c r="R24" s="51">
        <f t="shared" si="8"/>
        <v>48</v>
      </c>
      <c r="T24" s="45">
        <v>0</v>
      </c>
      <c r="U24" s="111">
        <v>0</v>
      </c>
      <c r="V24" s="45">
        <v>3</v>
      </c>
      <c r="W24" s="45">
        <v>3</v>
      </c>
    </row>
    <row r="25" spans="1:23" s="40" customFormat="1" ht="63" customHeight="1" x14ac:dyDescent="0.3">
      <c r="A25" s="1"/>
      <c r="B25" s="28">
        <v>20</v>
      </c>
      <c r="C25" s="108" t="s">
        <v>37</v>
      </c>
      <c r="D25" s="30">
        <v>40</v>
      </c>
      <c r="E25" s="31">
        <v>13</v>
      </c>
      <c r="F25" s="32">
        <v>1</v>
      </c>
      <c r="G25" s="33">
        <f t="shared" si="0"/>
        <v>7.6923076923076927E-2</v>
      </c>
      <c r="H25" s="34">
        <f t="shared" si="1"/>
        <v>1</v>
      </c>
      <c r="I25" s="34">
        <f t="shared" si="2"/>
        <v>0</v>
      </c>
      <c r="J25" s="35">
        <v>38</v>
      </c>
      <c r="K25" s="36">
        <v>1</v>
      </c>
      <c r="L25" s="37">
        <f t="shared" si="3"/>
        <v>1</v>
      </c>
      <c r="M25" s="34">
        <f t="shared" si="4"/>
        <v>1</v>
      </c>
      <c r="N25" s="38">
        <v>5</v>
      </c>
      <c r="O25" s="39">
        <f t="shared" si="5"/>
        <v>2</v>
      </c>
      <c r="P25" s="34">
        <f t="shared" si="6"/>
        <v>2</v>
      </c>
      <c r="Q25" s="34">
        <f t="shared" si="7"/>
        <v>1</v>
      </c>
      <c r="R25" s="38">
        <f t="shared" si="8"/>
        <v>43</v>
      </c>
      <c r="S25" s="106"/>
      <c r="T25" s="32">
        <v>0</v>
      </c>
      <c r="U25" s="112">
        <v>0</v>
      </c>
      <c r="V25" s="32">
        <v>1</v>
      </c>
      <c r="W25" s="32">
        <v>0</v>
      </c>
    </row>
    <row r="26" spans="1:23" ht="63" customHeight="1" x14ac:dyDescent="0.3">
      <c r="B26" s="41">
        <v>21</v>
      </c>
      <c r="C26" s="109" t="s">
        <v>38</v>
      </c>
      <c r="D26" s="43">
        <v>35</v>
      </c>
      <c r="E26" s="44">
        <v>2</v>
      </c>
      <c r="F26" s="45">
        <v>3</v>
      </c>
      <c r="G26" s="46">
        <f t="shared" si="0"/>
        <v>1.5</v>
      </c>
      <c r="H26" s="47">
        <f t="shared" si="1"/>
        <v>3</v>
      </c>
      <c r="I26" s="47">
        <f t="shared" si="2"/>
        <v>0</v>
      </c>
      <c r="J26" s="48">
        <v>18</v>
      </c>
      <c r="K26" s="49">
        <v>0</v>
      </c>
      <c r="L26" s="50">
        <f t="shared" si="3"/>
        <v>0</v>
      </c>
      <c r="M26" s="47">
        <f t="shared" si="4"/>
        <v>0</v>
      </c>
      <c r="N26" s="51">
        <v>1</v>
      </c>
      <c r="O26" s="52">
        <f t="shared" si="5"/>
        <v>3</v>
      </c>
      <c r="P26" s="47">
        <f t="shared" si="6"/>
        <v>3</v>
      </c>
      <c r="Q26" s="47">
        <f t="shared" si="7"/>
        <v>0</v>
      </c>
      <c r="R26" s="51">
        <f t="shared" si="8"/>
        <v>19</v>
      </c>
      <c r="T26" s="45">
        <v>0</v>
      </c>
      <c r="U26" s="111">
        <v>0</v>
      </c>
      <c r="V26" s="45">
        <v>3</v>
      </c>
      <c r="W26" s="45">
        <v>0</v>
      </c>
    </row>
    <row r="27" spans="1:23" s="40" customFormat="1" ht="63" customHeight="1" x14ac:dyDescent="0.3">
      <c r="A27" s="1"/>
      <c r="B27" s="28">
        <v>22</v>
      </c>
      <c r="C27" s="108" t="s">
        <v>39</v>
      </c>
      <c r="D27" s="30">
        <v>145</v>
      </c>
      <c r="E27" s="31">
        <v>32</v>
      </c>
      <c r="F27" s="32">
        <v>3</v>
      </c>
      <c r="G27" s="33">
        <f t="shared" si="0"/>
        <v>9.375E-2</v>
      </c>
      <c r="H27" s="34">
        <f t="shared" si="1"/>
        <v>3</v>
      </c>
      <c r="I27" s="34">
        <f t="shared" si="2"/>
        <v>-1</v>
      </c>
      <c r="J27" s="35">
        <v>64</v>
      </c>
      <c r="K27" s="36">
        <v>2</v>
      </c>
      <c r="L27" s="37">
        <f t="shared" si="3"/>
        <v>2</v>
      </c>
      <c r="M27" s="34">
        <f t="shared" si="4"/>
        <v>0</v>
      </c>
      <c r="N27" s="38">
        <v>42</v>
      </c>
      <c r="O27" s="39">
        <f t="shared" si="5"/>
        <v>5</v>
      </c>
      <c r="P27" s="34">
        <f t="shared" si="6"/>
        <v>5</v>
      </c>
      <c r="Q27" s="34">
        <f t="shared" si="7"/>
        <v>-1</v>
      </c>
      <c r="R27" s="38">
        <f t="shared" si="8"/>
        <v>106</v>
      </c>
      <c r="S27" s="106"/>
      <c r="T27" s="32">
        <v>0</v>
      </c>
      <c r="U27" s="112">
        <v>0</v>
      </c>
      <c r="V27" s="32">
        <v>4</v>
      </c>
      <c r="W27" s="32">
        <v>2</v>
      </c>
    </row>
    <row r="28" spans="1:23" ht="63" customHeight="1" x14ac:dyDescent="0.3">
      <c r="B28" s="41">
        <v>23</v>
      </c>
      <c r="C28" s="42" t="s">
        <v>40</v>
      </c>
      <c r="D28" s="43">
        <v>30</v>
      </c>
      <c r="E28" s="44">
        <v>0</v>
      </c>
      <c r="F28" s="45">
        <v>4</v>
      </c>
      <c r="G28" s="46">
        <f t="shared" si="0"/>
        <v>0</v>
      </c>
      <c r="H28" s="47">
        <f t="shared" si="1"/>
        <v>4</v>
      </c>
      <c r="I28" s="47">
        <f t="shared" si="2"/>
        <v>0</v>
      </c>
      <c r="J28" s="48">
        <v>42</v>
      </c>
      <c r="K28" s="49">
        <v>0</v>
      </c>
      <c r="L28" s="50">
        <f t="shared" si="3"/>
        <v>0</v>
      </c>
      <c r="M28" s="47">
        <f t="shared" si="4"/>
        <v>0</v>
      </c>
      <c r="N28" s="51">
        <v>0</v>
      </c>
      <c r="O28" s="52">
        <f t="shared" si="5"/>
        <v>4</v>
      </c>
      <c r="P28" s="47">
        <f t="shared" si="6"/>
        <v>4</v>
      </c>
      <c r="Q28" s="47">
        <f t="shared" si="7"/>
        <v>0</v>
      </c>
      <c r="R28" s="51">
        <f t="shared" si="8"/>
        <v>42</v>
      </c>
      <c r="T28" s="45">
        <v>0</v>
      </c>
      <c r="U28" s="111">
        <v>0</v>
      </c>
      <c r="V28" s="45">
        <v>4</v>
      </c>
      <c r="W28" s="45">
        <v>0</v>
      </c>
    </row>
    <row r="29" spans="1:23" s="40" customFormat="1" ht="63" customHeight="1" x14ac:dyDescent="0.3">
      <c r="A29" s="1"/>
      <c r="B29" s="28">
        <v>24</v>
      </c>
      <c r="C29" s="108" t="s">
        <v>41</v>
      </c>
      <c r="D29" s="30">
        <v>30</v>
      </c>
      <c r="E29" s="31">
        <v>2</v>
      </c>
      <c r="F29" s="32">
        <v>0</v>
      </c>
      <c r="G29" s="33">
        <f t="shared" si="0"/>
        <v>0</v>
      </c>
      <c r="H29" s="34">
        <f t="shared" si="1"/>
        <v>0</v>
      </c>
      <c r="I29" s="34">
        <f t="shared" si="2"/>
        <v>0</v>
      </c>
      <c r="J29" s="35">
        <v>6</v>
      </c>
      <c r="K29" s="36">
        <v>0</v>
      </c>
      <c r="L29" s="37">
        <f t="shared" si="3"/>
        <v>0</v>
      </c>
      <c r="M29" s="34">
        <f t="shared" si="4"/>
        <v>0</v>
      </c>
      <c r="N29" s="38">
        <v>5</v>
      </c>
      <c r="O29" s="39">
        <f t="shared" si="5"/>
        <v>0</v>
      </c>
      <c r="P29" s="34">
        <f t="shared" si="6"/>
        <v>0</v>
      </c>
      <c r="Q29" s="34">
        <f t="shared" si="7"/>
        <v>0</v>
      </c>
      <c r="R29" s="38">
        <f t="shared" si="8"/>
        <v>11</v>
      </c>
      <c r="S29" s="106"/>
      <c r="T29" s="32">
        <v>0</v>
      </c>
      <c r="U29" s="112">
        <v>0</v>
      </c>
      <c r="V29" s="32">
        <v>0</v>
      </c>
      <c r="W29" s="32">
        <v>0</v>
      </c>
    </row>
    <row r="30" spans="1:23" ht="63" customHeight="1" x14ac:dyDescent="0.3">
      <c r="B30" s="41">
        <v>25</v>
      </c>
      <c r="C30" s="42" t="s">
        <v>42</v>
      </c>
      <c r="D30" s="43">
        <v>30</v>
      </c>
      <c r="E30" s="44">
        <v>4</v>
      </c>
      <c r="F30" s="45">
        <v>4</v>
      </c>
      <c r="G30" s="46">
        <f t="shared" si="0"/>
        <v>1</v>
      </c>
      <c r="H30" s="47">
        <f t="shared" si="1"/>
        <v>4</v>
      </c>
      <c r="I30" s="47">
        <f t="shared" si="2"/>
        <v>0</v>
      </c>
      <c r="J30" s="48">
        <v>20</v>
      </c>
      <c r="K30" s="49">
        <v>0</v>
      </c>
      <c r="L30" s="50">
        <f t="shared" si="3"/>
        <v>0</v>
      </c>
      <c r="M30" s="47">
        <f t="shared" si="4"/>
        <v>0</v>
      </c>
      <c r="N30" s="51">
        <v>2</v>
      </c>
      <c r="O30" s="52">
        <f t="shared" si="5"/>
        <v>4</v>
      </c>
      <c r="P30" s="47">
        <f t="shared" si="6"/>
        <v>4</v>
      </c>
      <c r="Q30" s="47">
        <f t="shared" si="7"/>
        <v>0</v>
      </c>
      <c r="R30" s="51">
        <f t="shared" si="8"/>
        <v>22</v>
      </c>
      <c r="T30" s="45">
        <v>0</v>
      </c>
      <c r="U30" s="111">
        <v>0</v>
      </c>
      <c r="V30" s="45">
        <v>4</v>
      </c>
      <c r="W30" s="45">
        <v>0</v>
      </c>
    </row>
    <row r="31" spans="1:23" s="40" customFormat="1" ht="63" customHeight="1" x14ac:dyDescent="0.3">
      <c r="A31" s="1"/>
      <c r="B31" s="28">
        <v>26</v>
      </c>
      <c r="C31" s="108" t="s">
        <v>43</v>
      </c>
      <c r="D31" s="30">
        <v>100</v>
      </c>
      <c r="E31" s="31">
        <v>2</v>
      </c>
      <c r="F31" s="32">
        <v>2</v>
      </c>
      <c r="G31" s="33">
        <f t="shared" si="0"/>
        <v>1</v>
      </c>
      <c r="H31" s="34">
        <f t="shared" si="1"/>
        <v>2</v>
      </c>
      <c r="I31" s="34">
        <f t="shared" si="2"/>
        <v>1</v>
      </c>
      <c r="J31" s="35">
        <v>8</v>
      </c>
      <c r="K31" s="36">
        <v>0</v>
      </c>
      <c r="L31" s="37">
        <f t="shared" si="3"/>
        <v>0</v>
      </c>
      <c r="M31" s="34">
        <f t="shared" si="4"/>
        <v>0</v>
      </c>
      <c r="N31" s="38">
        <v>6</v>
      </c>
      <c r="O31" s="39">
        <f t="shared" si="5"/>
        <v>2</v>
      </c>
      <c r="P31" s="34">
        <f t="shared" si="6"/>
        <v>2</v>
      </c>
      <c r="Q31" s="34">
        <f t="shared" si="7"/>
        <v>1</v>
      </c>
      <c r="R31" s="38">
        <f t="shared" si="8"/>
        <v>14</v>
      </c>
      <c r="S31" s="106"/>
      <c r="T31" s="32">
        <v>0</v>
      </c>
      <c r="U31" s="112">
        <v>0</v>
      </c>
      <c r="V31" s="32">
        <v>1</v>
      </c>
      <c r="W31" s="32">
        <v>0</v>
      </c>
    </row>
    <row r="32" spans="1:23" ht="63" customHeight="1" x14ac:dyDescent="0.3">
      <c r="B32" s="41">
        <v>27</v>
      </c>
      <c r="C32" s="42" t="s">
        <v>44</v>
      </c>
      <c r="D32" s="43">
        <v>50</v>
      </c>
      <c r="E32" s="44">
        <v>1</v>
      </c>
      <c r="F32" s="45">
        <v>3</v>
      </c>
      <c r="G32" s="46">
        <f t="shared" si="0"/>
        <v>3</v>
      </c>
      <c r="H32" s="47">
        <f t="shared" si="1"/>
        <v>3</v>
      </c>
      <c r="I32" s="47">
        <f t="shared" si="2"/>
        <v>0</v>
      </c>
      <c r="J32" s="48">
        <v>8</v>
      </c>
      <c r="K32" s="49">
        <v>0</v>
      </c>
      <c r="L32" s="50">
        <f t="shared" si="3"/>
        <v>0</v>
      </c>
      <c r="M32" s="47">
        <f t="shared" si="4"/>
        <v>0</v>
      </c>
      <c r="N32" s="51">
        <v>2</v>
      </c>
      <c r="O32" s="52">
        <f t="shared" si="5"/>
        <v>3</v>
      </c>
      <c r="P32" s="47">
        <f t="shared" si="6"/>
        <v>3</v>
      </c>
      <c r="Q32" s="47">
        <f t="shared" si="7"/>
        <v>0</v>
      </c>
      <c r="R32" s="51">
        <f t="shared" si="8"/>
        <v>10</v>
      </c>
      <c r="T32" s="45">
        <v>0</v>
      </c>
      <c r="U32" s="111">
        <v>0</v>
      </c>
      <c r="V32" s="45">
        <v>3</v>
      </c>
      <c r="W32" s="45">
        <v>0</v>
      </c>
    </row>
    <row r="33" spans="1:23" s="40" customFormat="1" ht="63" customHeight="1" x14ac:dyDescent="0.3">
      <c r="A33" s="1"/>
      <c r="B33" s="28">
        <v>28</v>
      </c>
      <c r="C33" s="108" t="s">
        <v>45</v>
      </c>
      <c r="D33" s="30">
        <v>30</v>
      </c>
      <c r="E33" s="31">
        <v>5</v>
      </c>
      <c r="F33" s="32">
        <v>1</v>
      </c>
      <c r="G33" s="33">
        <f t="shared" si="0"/>
        <v>0.2</v>
      </c>
      <c r="H33" s="34">
        <f t="shared" si="1"/>
        <v>1</v>
      </c>
      <c r="I33" s="34">
        <f t="shared" si="2"/>
        <v>0</v>
      </c>
      <c r="J33" s="35">
        <v>8</v>
      </c>
      <c r="K33" s="36">
        <v>1</v>
      </c>
      <c r="L33" s="37">
        <f t="shared" si="3"/>
        <v>1</v>
      </c>
      <c r="M33" s="34">
        <f t="shared" si="4"/>
        <v>0</v>
      </c>
      <c r="N33" s="38">
        <v>3</v>
      </c>
      <c r="O33" s="39">
        <f t="shared" si="5"/>
        <v>2</v>
      </c>
      <c r="P33" s="34">
        <f t="shared" si="6"/>
        <v>2</v>
      </c>
      <c r="Q33" s="34">
        <f t="shared" si="7"/>
        <v>0</v>
      </c>
      <c r="R33" s="38">
        <f t="shared" si="8"/>
        <v>11</v>
      </c>
      <c r="S33" s="106"/>
      <c r="T33" s="32">
        <v>0</v>
      </c>
      <c r="U33" s="112">
        <v>0</v>
      </c>
      <c r="V33" s="32">
        <v>1</v>
      </c>
      <c r="W33" s="32">
        <v>1</v>
      </c>
    </row>
    <row r="34" spans="1:23" ht="63" customHeight="1" x14ac:dyDescent="0.3">
      <c r="B34" s="41">
        <v>29</v>
      </c>
      <c r="C34" s="109" t="s">
        <v>46</v>
      </c>
      <c r="D34" s="43">
        <v>50</v>
      </c>
      <c r="E34" s="44">
        <v>2</v>
      </c>
      <c r="F34" s="45">
        <v>1</v>
      </c>
      <c r="G34" s="46">
        <f t="shared" si="0"/>
        <v>0.5</v>
      </c>
      <c r="H34" s="47">
        <f t="shared" si="1"/>
        <v>1</v>
      </c>
      <c r="I34" s="47">
        <f t="shared" si="2"/>
        <v>0</v>
      </c>
      <c r="J34" s="48">
        <v>6</v>
      </c>
      <c r="K34" s="49">
        <v>0</v>
      </c>
      <c r="L34" s="50">
        <f t="shared" si="3"/>
        <v>0</v>
      </c>
      <c r="M34" s="47">
        <f t="shared" si="4"/>
        <v>0</v>
      </c>
      <c r="N34" s="51">
        <v>3</v>
      </c>
      <c r="O34" s="52">
        <f t="shared" si="5"/>
        <v>1</v>
      </c>
      <c r="P34" s="47">
        <f t="shared" si="6"/>
        <v>1</v>
      </c>
      <c r="Q34" s="47">
        <f t="shared" si="7"/>
        <v>0</v>
      </c>
      <c r="R34" s="51">
        <f t="shared" si="8"/>
        <v>9</v>
      </c>
      <c r="T34" s="45">
        <v>0</v>
      </c>
      <c r="U34" s="111">
        <v>0</v>
      </c>
      <c r="V34" s="45">
        <v>1</v>
      </c>
      <c r="W34" s="45">
        <v>0</v>
      </c>
    </row>
    <row r="35" spans="1:23" s="40" customFormat="1" ht="63" customHeight="1" x14ac:dyDescent="0.3">
      <c r="A35" s="1"/>
      <c r="B35" s="28">
        <v>30</v>
      </c>
      <c r="C35" s="108" t="s">
        <v>47</v>
      </c>
      <c r="D35" s="30">
        <v>140</v>
      </c>
      <c r="E35" s="31">
        <v>27</v>
      </c>
      <c r="F35" s="32">
        <v>3</v>
      </c>
      <c r="G35" s="33">
        <f t="shared" si="0"/>
        <v>0.1111111111111111</v>
      </c>
      <c r="H35" s="34">
        <f t="shared" si="1"/>
        <v>3</v>
      </c>
      <c r="I35" s="34">
        <f t="shared" si="2"/>
        <v>1</v>
      </c>
      <c r="J35" s="35">
        <v>44</v>
      </c>
      <c r="K35" s="36">
        <v>0</v>
      </c>
      <c r="L35" s="37">
        <f t="shared" si="3"/>
        <v>0</v>
      </c>
      <c r="M35" s="34">
        <f t="shared" si="4"/>
        <v>0</v>
      </c>
      <c r="N35" s="38">
        <v>25</v>
      </c>
      <c r="O35" s="39">
        <f t="shared" si="5"/>
        <v>3</v>
      </c>
      <c r="P35" s="34">
        <f t="shared" si="6"/>
        <v>3</v>
      </c>
      <c r="Q35" s="34">
        <f t="shared" si="7"/>
        <v>1</v>
      </c>
      <c r="R35" s="38">
        <f t="shared" si="8"/>
        <v>69</v>
      </c>
      <c r="S35" s="106"/>
      <c r="T35" s="32">
        <v>0</v>
      </c>
      <c r="U35" s="112">
        <v>0</v>
      </c>
      <c r="V35" s="32">
        <v>2</v>
      </c>
      <c r="W35" s="32">
        <v>0</v>
      </c>
    </row>
    <row r="36" spans="1:23" ht="63" customHeight="1" x14ac:dyDescent="0.3">
      <c r="B36" s="41">
        <v>31</v>
      </c>
      <c r="C36" s="109" t="s">
        <v>48</v>
      </c>
      <c r="D36" s="43">
        <v>70</v>
      </c>
      <c r="E36" s="44">
        <v>1</v>
      </c>
      <c r="F36" s="45">
        <v>2</v>
      </c>
      <c r="G36" s="46">
        <f t="shared" si="0"/>
        <v>2</v>
      </c>
      <c r="H36" s="47">
        <f t="shared" si="1"/>
        <v>2</v>
      </c>
      <c r="I36" s="47">
        <f t="shared" si="2"/>
        <v>0</v>
      </c>
      <c r="J36" s="48">
        <v>4</v>
      </c>
      <c r="K36" s="49">
        <v>4</v>
      </c>
      <c r="L36" s="50">
        <f t="shared" si="3"/>
        <v>4</v>
      </c>
      <c r="M36" s="47">
        <f t="shared" si="4"/>
        <v>-1</v>
      </c>
      <c r="N36" s="51">
        <v>45</v>
      </c>
      <c r="O36" s="52">
        <f t="shared" si="5"/>
        <v>6</v>
      </c>
      <c r="P36" s="47">
        <f t="shared" si="6"/>
        <v>6</v>
      </c>
      <c r="Q36" s="47">
        <f t="shared" si="7"/>
        <v>-1</v>
      </c>
      <c r="R36" s="51">
        <f t="shared" si="8"/>
        <v>49</v>
      </c>
      <c r="T36" s="45">
        <v>0</v>
      </c>
      <c r="U36" s="111">
        <v>0</v>
      </c>
      <c r="V36" s="45">
        <v>2</v>
      </c>
      <c r="W36" s="45">
        <v>5</v>
      </c>
    </row>
    <row r="37" spans="1:23" s="40" customFormat="1" ht="63" customHeight="1" x14ac:dyDescent="0.3">
      <c r="A37" s="1"/>
      <c r="B37" s="28">
        <v>32</v>
      </c>
      <c r="C37" s="29" t="s">
        <v>49</v>
      </c>
      <c r="D37" s="30">
        <v>40</v>
      </c>
      <c r="E37" s="31">
        <v>1</v>
      </c>
      <c r="F37" s="32">
        <v>2</v>
      </c>
      <c r="G37" s="33">
        <f t="shared" si="0"/>
        <v>2</v>
      </c>
      <c r="H37" s="34">
        <f t="shared" si="1"/>
        <v>2</v>
      </c>
      <c r="I37" s="34">
        <f t="shared" si="2"/>
        <v>0</v>
      </c>
      <c r="J37" s="35">
        <v>17</v>
      </c>
      <c r="K37" s="36">
        <v>0</v>
      </c>
      <c r="L37" s="37">
        <f t="shared" si="3"/>
        <v>0</v>
      </c>
      <c r="M37" s="34">
        <f t="shared" si="4"/>
        <v>0</v>
      </c>
      <c r="N37" s="38">
        <v>0</v>
      </c>
      <c r="O37" s="39">
        <f t="shared" si="5"/>
        <v>2</v>
      </c>
      <c r="P37" s="34">
        <f t="shared" si="6"/>
        <v>2</v>
      </c>
      <c r="Q37" s="34">
        <f t="shared" si="7"/>
        <v>0</v>
      </c>
      <c r="R37" s="38">
        <f t="shared" si="8"/>
        <v>17</v>
      </c>
      <c r="S37" s="106"/>
      <c r="T37" s="32">
        <v>0</v>
      </c>
      <c r="U37" s="112">
        <v>0</v>
      </c>
      <c r="V37" s="32">
        <v>2</v>
      </c>
      <c r="W37" s="32">
        <v>0</v>
      </c>
    </row>
    <row r="38" spans="1:23" ht="63" customHeight="1" x14ac:dyDescent="0.3">
      <c r="B38" s="41">
        <v>33</v>
      </c>
      <c r="C38" s="109" t="s">
        <v>50</v>
      </c>
      <c r="D38" s="43">
        <v>91</v>
      </c>
      <c r="E38" s="44">
        <v>6</v>
      </c>
      <c r="F38" s="45">
        <v>0</v>
      </c>
      <c r="G38" s="46">
        <f t="shared" si="0"/>
        <v>0</v>
      </c>
      <c r="H38" s="47">
        <f t="shared" si="1"/>
        <v>0</v>
      </c>
      <c r="I38" s="47">
        <f t="shared" si="2"/>
        <v>0</v>
      </c>
      <c r="J38" s="48">
        <v>21</v>
      </c>
      <c r="K38" s="49">
        <v>1</v>
      </c>
      <c r="L38" s="50">
        <f t="shared" si="3"/>
        <v>1</v>
      </c>
      <c r="M38" s="47">
        <f t="shared" si="4"/>
        <v>0</v>
      </c>
      <c r="N38" s="51">
        <v>36</v>
      </c>
      <c r="O38" s="52">
        <f t="shared" si="5"/>
        <v>1</v>
      </c>
      <c r="P38" s="47">
        <f t="shared" si="6"/>
        <v>1</v>
      </c>
      <c r="Q38" s="47">
        <f t="shared" si="7"/>
        <v>0</v>
      </c>
      <c r="R38" s="51">
        <f t="shared" si="8"/>
        <v>57</v>
      </c>
      <c r="T38" s="45">
        <v>0</v>
      </c>
      <c r="U38" s="111">
        <v>0</v>
      </c>
      <c r="V38" s="45">
        <v>0</v>
      </c>
      <c r="W38" s="45">
        <v>1</v>
      </c>
    </row>
    <row r="39" spans="1:23" s="40" customFormat="1" ht="63" customHeight="1" x14ac:dyDescent="0.3">
      <c r="A39" s="1"/>
      <c r="B39" s="28">
        <v>34</v>
      </c>
      <c r="C39" s="108" t="s">
        <v>51</v>
      </c>
      <c r="D39" s="30">
        <v>20</v>
      </c>
      <c r="E39" s="31">
        <v>2</v>
      </c>
      <c r="F39" s="32">
        <v>1</v>
      </c>
      <c r="G39" s="33">
        <f t="shared" si="0"/>
        <v>0.5</v>
      </c>
      <c r="H39" s="34">
        <f t="shared" si="1"/>
        <v>1</v>
      </c>
      <c r="I39" s="34">
        <f t="shared" si="2"/>
        <v>0</v>
      </c>
      <c r="J39" s="35">
        <v>3</v>
      </c>
      <c r="K39" s="36">
        <v>0</v>
      </c>
      <c r="L39" s="37">
        <f t="shared" si="3"/>
        <v>0</v>
      </c>
      <c r="M39" s="34">
        <f t="shared" si="4"/>
        <v>0</v>
      </c>
      <c r="N39" s="38">
        <v>1</v>
      </c>
      <c r="O39" s="39">
        <f t="shared" si="5"/>
        <v>1</v>
      </c>
      <c r="P39" s="34">
        <f t="shared" si="6"/>
        <v>1</v>
      </c>
      <c r="Q39" s="34">
        <f t="shared" si="7"/>
        <v>0</v>
      </c>
      <c r="R39" s="38">
        <f t="shared" si="8"/>
        <v>4</v>
      </c>
      <c r="S39" s="106"/>
      <c r="T39" s="32">
        <v>0</v>
      </c>
      <c r="U39" s="112">
        <v>0</v>
      </c>
      <c r="V39" s="32">
        <v>1</v>
      </c>
      <c r="W39" s="32">
        <v>0</v>
      </c>
    </row>
    <row r="40" spans="1:23" ht="63" customHeight="1" thickBot="1" x14ac:dyDescent="0.35">
      <c r="B40" s="53">
        <v>35</v>
      </c>
      <c r="C40" s="54" t="s">
        <v>52</v>
      </c>
      <c r="D40" s="55">
        <v>20</v>
      </c>
      <c r="E40" s="56">
        <v>0</v>
      </c>
      <c r="F40" s="57">
        <v>1</v>
      </c>
      <c r="G40" s="58">
        <f t="shared" si="0"/>
        <v>0</v>
      </c>
      <c r="H40" s="59">
        <f t="shared" si="1"/>
        <v>1</v>
      </c>
      <c r="I40" s="59">
        <f t="shared" si="2"/>
        <v>0</v>
      </c>
      <c r="J40" s="60">
        <v>15</v>
      </c>
      <c r="K40" s="61">
        <v>0</v>
      </c>
      <c r="L40" s="62">
        <f t="shared" si="3"/>
        <v>0</v>
      </c>
      <c r="M40" s="59">
        <f t="shared" si="4"/>
        <v>0</v>
      </c>
      <c r="N40" s="63">
        <v>0</v>
      </c>
      <c r="O40" s="64">
        <f t="shared" si="5"/>
        <v>1</v>
      </c>
      <c r="P40" s="59">
        <f t="shared" si="6"/>
        <v>1</v>
      </c>
      <c r="Q40" s="59">
        <f t="shared" si="7"/>
        <v>0</v>
      </c>
      <c r="R40" s="63">
        <f t="shared" si="8"/>
        <v>15</v>
      </c>
      <c r="T40" s="45">
        <v>0</v>
      </c>
      <c r="U40" s="111">
        <v>0</v>
      </c>
      <c r="V40" s="45">
        <v>1</v>
      </c>
      <c r="W40" s="45">
        <v>0</v>
      </c>
    </row>
    <row r="41" spans="1:23" s="40" customFormat="1" ht="63" customHeight="1" thickBot="1" x14ac:dyDescent="0.35">
      <c r="A41" s="1"/>
      <c r="B41" s="151" t="s">
        <v>7</v>
      </c>
      <c r="C41" s="152"/>
      <c r="D41" s="65">
        <f>SUM(D3:D40)</f>
        <v>1945</v>
      </c>
      <c r="E41" s="66">
        <f>SUM(E3:E40)</f>
        <v>217</v>
      </c>
      <c r="F41" s="67">
        <f>SUM(F3:F40)</f>
        <v>124</v>
      </c>
      <c r="G41" s="68">
        <f>SUM(F41/E41)</f>
        <v>0.5714285714285714</v>
      </c>
      <c r="H41" s="69">
        <f>SUM(H6:H40)</f>
        <v>124</v>
      </c>
      <c r="I41" s="69">
        <f>SUM(I6:I40)</f>
        <v>14</v>
      </c>
      <c r="J41" s="70">
        <f>SUM(J6:J40)</f>
        <v>1225</v>
      </c>
      <c r="K41" s="71">
        <f>SUM(K3:K40)</f>
        <v>40</v>
      </c>
      <c r="L41" s="69">
        <f>SUM(L6:L40)</f>
        <v>40</v>
      </c>
      <c r="M41" s="69">
        <f>SUM(M6:M40)</f>
        <v>0</v>
      </c>
      <c r="N41" s="70">
        <f>SUM(N6:N40)</f>
        <v>348</v>
      </c>
      <c r="O41" s="107">
        <f t="shared" si="5"/>
        <v>164</v>
      </c>
      <c r="P41" s="69">
        <f>SUM(H41+L41)</f>
        <v>164</v>
      </c>
      <c r="Q41" s="69">
        <f>SUM(I41+M41)</f>
        <v>14</v>
      </c>
      <c r="R41" s="72">
        <f>SUM(R6:R40)</f>
        <v>1573</v>
      </c>
      <c r="S41" s="106"/>
      <c r="T41" s="113">
        <f>SUM(T3:T40)</f>
        <v>0</v>
      </c>
      <c r="U41" s="113">
        <f>SUM(U3:U40)</f>
        <v>0</v>
      </c>
      <c r="V41" s="113">
        <f>SUM(V3:V40)</f>
        <v>110</v>
      </c>
      <c r="W41" s="113">
        <f>SUM(W3:W40)</f>
        <v>40</v>
      </c>
    </row>
    <row r="42" spans="1:23" ht="63" customHeight="1" thickBot="1" x14ac:dyDescent="0.35">
      <c r="B42" s="126" t="s">
        <v>53</v>
      </c>
      <c r="C42" s="122" t="s">
        <v>54</v>
      </c>
      <c r="D42" s="73" t="s">
        <v>55</v>
      </c>
      <c r="E42" s="114">
        <v>217</v>
      </c>
      <c r="F42" s="74">
        <f>V41</f>
        <v>110</v>
      </c>
      <c r="G42" s="75">
        <f>SUM(F42/E42)</f>
        <v>0.50691244239631339</v>
      </c>
      <c r="H42" s="148"/>
      <c r="I42" s="132"/>
      <c r="J42" s="149"/>
      <c r="K42" s="76">
        <f>W41</f>
        <v>40</v>
      </c>
      <c r="L42" s="137"/>
      <c r="M42" s="147"/>
      <c r="N42" s="139"/>
      <c r="O42" s="77">
        <f>F42+K42</f>
        <v>150</v>
      </c>
      <c r="P42" s="148"/>
      <c r="Q42" s="132"/>
      <c r="R42" s="139"/>
    </row>
    <row r="43" spans="1:23" s="40" customFormat="1" ht="63" customHeight="1" x14ac:dyDescent="0.3">
      <c r="A43" s="1"/>
      <c r="B43" s="127"/>
      <c r="C43" s="123"/>
      <c r="D43" s="78" t="s">
        <v>56</v>
      </c>
      <c r="E43" s="79">
        <f>SUM(E41-E42)</f>
        <v>0</v>
      </c>
      <c r="F43" s="80">
        <f>SUM(F41-F42)</f>
        <v>14</v>
      </c>
      <c r="G43" s="81">
        <f>SUM(G41-G42)</f>
        <v>6.4516129032258007E-2</v>
      </c>
      <c r="H43" s="133"/>
      <c r="I43" s="133"/>
      <c r="J43" s="150"/>
      <c r="K43" s="82">
        <f>SUM(K41-K42)</f>
        <v>0</v>
      </c>
      <c r="L43" s="133"/>
      <c r="M43" s="133"/>
      <c r="N43" s="140"/>
      <c r="O43" s="83">
        <f>SUM(O41-O42)</f>
        <v>14</v>
      </c>
      <c r="P43" s="133"/>
      <c r="Q43" s="133"/>
      <c r="R43" s="140"/>
      <c r="S43" s="106"/>
      <c r="T43" s="106"/>
      <c r="U43" s="106"/>
    </row>
    <row r="44" spans="1:23" ht="63" customHeight="1" x14ac:dyDescent="0.3">
      <c r="B44" s="127"/>
      <c r="C44" s="125" t="s">
        <v>57</v>
      </c>
      <c r="D44" s="84" t="s">
        <v>55</v>
      </c>
      <c r="E44" s="115">
        <v>217</v>
      </c>
      <c r="F44" s="85">
        <f>J41</f>
        <v>1225</v>
      </c>
      <c r="G44" s="86">
        <f>SUM(F44/E44)</f>
        <v>5.645161290322581</v>
      </c>
      <c r="H44" s="133"/>
      <c r="I44" s="133"/>
      <c r="J44" s="150"/>
      <c r="K44" s="87">
        <f>N41</f>
        <v>348</v>
      </c>
      <c r="L44" s="133"/>
      <c r="M44" s="133"/>
      <c r="N44" s="140"/>
      <c r="O44" s="88">
        <f>SUM(F44+K44)</f>
        <v>1573</v>
      </c>
      <c r="P44" s="133"/>
      <c r="Q44" s="133"/>
      <c r="R44" s="140"/>
    </row>
    <row r="45" spans="1:23" ht="63" customHeight="1" thickBot="1" x14ac:dyDescent="0.35">
      <c r="B45" s="128"/>
      <c r="C45" s="123"/>
      <c r="D45" s="89" t="s">
        <v>56</v>
      </c>
      <c r="E45" s="90">
        <f>SUM(E41-E44)</f>
        <v>0</v>
      </c>
      <c r="F45" s="91">
        <f>SUM(F41-F44)</f>
        <v>-1101</v>
      </c>
      <c r="G45" s="92">
        <f>SUM(G41-G44)</f>
        <v>-5.0737327188940098</v>
      </c>
      <c r="H45" s="138"/>
      <c r="I45" s="134"/>
      <c r="J45" s="123"/>
      <c r="K45" s="93">
        <f>SUM(K41-K44)</f>
        <v>-308</v>
      </c>
      <c r="L45" s="138"/>
      <c r="M45" s="134"/>
      <c r="N45" s="141"/>
      <c r="O45" s="94">
        <f>SUM(O41-O44)</f>
        <v>-1409</v>
      </c>
      <c r="P45" s="138"/>
      <c r="Q45" s="134"/>
      <c r="R45" s="141"/>
    </row>
    <row r="46" spans="1:23" ht="30" customHeight="1" x14ac:dyDescent="0.3">
      <c r="B46" s="95"/>
      <c r="C46" s="96"/>
      <c r="D46" s="97"/>
      <c r="E46" s="97"/>
      <c r="F46" s="98"/>
      <c r="G46" s="99"/>
      <c r="H46" s="99"/>
      <c r="I46" s="100"/>
      <c r="J46" s="100"/>
      <c r="K46" s="98"/>
      <c r="L46" s="97"/>
      <c r="M46" s="101"/>
      <c r="N46" s="100"/>
      <c r="O46" s="98"/>
      <c r="P46" s="97"/>
      <c r="Q46" s="102"/>
      <c r="R46" s="100"/>
    </row>
    <row r="47" spans="1:23" ht="30" customHeight="1" x14ac:dyDescent="0.3">
      <c r="A47" s="119"/>
      <c r="B47" s="120"/>
      <c r="C47" s="120"/>
      <c r="D47" s="117"/>
      <c r="E47" s="117"/>
      <c r="F47" s="118"/>
      <c r="G47" s="117"/>
      <c r="H47" s="117"/>
      <c r="I47" s="117"/>
      <c r="J47" s="117"/>
      <c r="K47" s="118"/>
      <c r="L47" s="117"/>
      <c r="M47" s="117"/>
      <c r="N47" s="117"/>
      <c r="O47" s="118"/>
      <c r="P47" s="117"/>
      <c r="Q47" s="117"/>
      <c r="R47" s="117"/>
    </row>
    <row r="48" spans="1:23" ht="30" customHeight="1" x14ac:dyDescent="0.3">
      <c r="A48" s="121"/>
      <c r="B48" s="120"/>
      <c r="C48" s="120"/>
      <c r="D48" s="117"/>
      <c r="E48" s="117"/>
      <c r="F48" s="118"/>
      <c r="G48" s="117"/>
      <c r="H48" s="117"/>
      <c r="I48" s="117"/>
      <c r="J48" s="117"/>
      <c r="K48" s="118"/>
      <c r="L48" s="117"/>
      <c r="M48" s="117"/>
      <c r="N48" s="117"/>
      <c r="O48" s="118"/>
      <c r="P48" s="117"/>
      <c r="Q48" s="117"/>
      <c r="R48" s="117"/>
    </row>
    <row r="49" spans="2:18" ht="20.25" customHeight="1" x14ac:dyDescent="0.3">
      <c r="B49" s="144"/>
      <c r="C49" s="120"/>
      <c r="D49" s="117"/>
      <c r="E49" s="117"/>
      <c r="F49" s="118"/>
      <c r="G49" s="117"/>
      <c r="H49" s="117"/>
      <c r="I49" s="117"/>
      <c r="J49" s="117"/>
      <c r="K49" s="118"/>
      <c r="L49" s="117"/>
      <c r="M49" s="117"/>
      <c r="N49" s="117"/>
      <c r="O49" s="118"/>
      <c r="P49" s="103"/>
      <c r="Q49" s="104"/>
      <c r="R49" s="104"/>
    </row>
  </sheetData>
  <mergeCells count="24">
    <mergeCell ref="B2:Q2"/>
    <mergeCell ref="B3:G3"/>
    <mergeCell ref="B49:O49"/>
    <mergeCell ref="O4:R4"/>
    <mergeCell ref="B4:B5"/>
    <mergeCell ref="M42:M45"/>
    <mergeCell ref="H42:H45"/>
    <mergeCell ref="J42:J45"/>
    <mergeCell ref="P42:P45"/>
    <mergeCell ref="B41:C41"/>
    <mergeCell ref="K3:O3"/>
    <mergeCell ref="A47:R48"/>
    <mergeCell ref="C42:C43"/>
    <mergeCell ref="C4:C5"/>
    <mergeCell ref="C44:C45"/>
    <mergeCell ref="B42:B45"/>
    <mergeCell ref="K4:N4"/>
    <mergeCell ref="Q42:Q45"/>
    <mergeCell ref="D4:D5"/>
    <mergeCell ref="L42:L45"/>
    <mergeCell ref="N42:N45"/>
    <mergeCell ref="R42:R45"/>
    <mergeCell ref="E4:J4"/>
    <mergeCell ref="I42:I45"/>
  </mergeCells>
  <phoneticPr fontId="2" type="noConversion"/>
  <printOptions horizontalCentered="1"/>
  <pageMargins left="0.39370078740157483" right="0.39370078740157483" top="0.59055118110236227" bottom="0.59055118110236227" header="0" footer="0"/>
  <pageSetup paperSize="9" scale="27" orientation="portrait" r:id="rId1"/>
  <rowBreaks count="1" manualBreakCount="1">
    <brk id="45" min="1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1일차1월4일(월)17시</vt:lpstr>
      <vt:lpstr>'1일차1월4일(월)17시'!Print_Area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입학지원처 최동일</dc:creator>
  <cp:lastModifiedBy>김효건</cp:lastModifiedBy>
  <cp:lastPrinted>2026-06-17T07:36:44Z</cp:lastPrinted>
  <dcterms:created xsi:type="dcterms:W3CDTF">2025-09-09T23:58:35Z</dcterms:created>
  <dcterms:modified xsi:type="dcterms:W3CDTF">2026-06-17T07:36:44Z</dcterms:modified>
</cp:coreProperties>
</file>